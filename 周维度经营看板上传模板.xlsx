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cwf\Desktop\"/>
    </mc:Choice>
  </mc:AlternateContent>
  <bookViews>
    <workbookView windowWidth="21600" windowHeight="9105" activeTab="7"/>
  </bookViews>
  <sheets>
    <sheet name="订单数据" sheetId="1" r:id="rId1"/>
    <sheet name="采购数据统计" sheetId="2" r:id="rId2"/>
    <sheet name="Key-SKU断货统计" sheetId="3" r:id="rId3"/>
    <sheet name="议价数据统计" sheetId="4" r:id="rId4"/>
    <sheet name="仓储单位产出" sheetId="5" r:id="rId5"/>
    <sheet name="效率提升" sheetId="6" r:id="rId6"/>
    <sheet name="库存周转分析" sheetId="7" r:id="rId7"/>
    <sheet name="总结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Unknown User</author>
  </authors>
  <commentList>
    <comment ref="C4" authorId="0">
      <text>
        <r>
          <rPr>
            <b/>
            <sz val="9"/>
            <color rgb="FF000000"/>
            <rFont val="宋体"/>
            <charset val="134"/>
          </rPr>
          <t>Administrator:</t>
        </r>
        <r>
          <rPr>
            <sz val="9"/>
            <color rgb="FF000000"/>
            <rFont val="宋体"/>
            <charset val="134"/>
          </rPr>
          <t xml:space="preserve">
上周备货较多，本周趋于稳定，上周涨幅主要以常规为主</t>
        </r>
        <r>
          <rPr>
            <sz val="10"/>
            <color rgb="FF000000"/>
            <rFont val="宋体"/>
            <charset val="134"/>
          </rPr>
          <t xml:space="preserve">
  - 蔡伟凤</t>
        </r>
        <r>
          <rPr>
            <sz val="10"/>
            <rFont val="宋体"/>
            <charset val="134"/>
          </rPr>
          <t xml:space="preserve">
  - 蒋一珺</t>
        </r>
      </text>
    </comment>
  </commentList>
</comments>
</file>

<file path=xl/sharedStrings.xml><?xml version="1.0" encoding="utf-8"?>
<sst xmlns="http://schemas.openxmlformats.org/spreadsheetml/2006/main" count="130" uniqueCount="95">
  <si>
    <t>周次</t>
  </si>
  <si>
    <t>新下单订单条数</t>
  </si>
  <si>
    <t>新下单订单金额</t>
  </si>
  <si>
    <t>待审核总订单条数</t>
  </si>
  <si>
    <t>待审核总订单金额</t>
  </si>
  <si>
    <t>25年及以前待审核订单条数</t>
  </si>
  <si>
    <t>25年及以前待审核订单金额</t>
  </si>
  <si>
    <t>26年1-6月待审核订单条数</t>
  </si>
  <si>
    <t>26年1-6月待审核订单金额</t>
  </si>
  <si>
    <t>环比</t>
  </si>
  <si>
    <t>07-30</t>
  </si>
  <si>
    <t>08-06</t>
  </si>
  <si>
    <t>08-13</t>
  </si>
  <si>
    <t>08-20</t>
  </si>
  <si>
    <t>08-27</t>
  </si>
  <si>
    <t>09-03</t>
  </si>
  <si>
    <t>09-10</t>
  </si>
  <si>
    <t>采购合同个数</t>
  </si>
  <si>
    <t>采购单个数</t>
  </si>
  <si>
    <t>销售采购单个数</t>
  </si>
  <si>
    <t>直发采购单个数</t>
  </si>
  <si>
    <t>直发采购单比例</t>
  </si>
  <si>
    <t>采购金额（元）</t>
  </si>
  <si>
    <t>人数</t>
  </si>
  <si>
    <t>人均采购金额（元）</t>
  </si>
  <si>
    <t>人均采购单（个）</t>
  </si>
  <si>
    <t>金额周环比</t>
  </si>
  <si>
    <t>07-23</t>
  </si>
  <si>
    <t>08-07</t>
  </si>
  <si>
    <t>货号个数</t>
  </si>
  <si>
    <t>断货个数</t>
  </si>
  <si>
    <t>断货率</t>
  </si>
  <si>
    <t>备注说明</t>
  </si>
  <si>
    <t>明星产品清单更新</t>
  </si>
  <si>
    <t>单笔议价金额（元）</t>
  </si>
  <si>
    <t>备货议价金额（元）</t>
  </si>
  <si>
    <t>议价合计（元）</t>
  </si>
  <si>
    <t>月份</t>
  </si>
  <si>
    <t>主仓面积</t>
  </si>
  <si>
    <t>廊坊仓面积</t>
  </si>
  <si>
    <t>成都仓面积</t>
  </si>
  <si>
    <t>广州仓面积</t>
  </si>
  <si>
    <t>主仓每平米销售额</t>
  </si>
  <si>
    <t>廊坊每平米销售额</t>
  </si>
  <si>
    <t>成都每平米销售额</t>
  </si>
  <si>
    <t>广州仓每平米销售额</t>
  </si>
  <si>
    <t>主仓每平米毛利</t>
  </si>
  <si>
    <t>廊坊每平米毛利</t>
  </si>
  <si>
    <t>成都每平米毛利</t>
  </si>
  <si>
    <t>广州仓每平米毛利</t>
  </si>
  <si>
    <t>主仓租金</t>
  </si>
  <si>
    <t>廊坊仓租金</t>
  </si>
  <si>
    <t>成都仓租金</t>
  </si>
  <si>
    <t>广州仓租金</t>
  </si>
  <si>
    <t>2026-06</t>
  </si>
  <si>
    <t>2026-07</t>
  </si>
  <si>
    <t>2026-08</t>
  </si>
  <si>
    <t>模块</t>
  </si>
  <si>
    <t>本周进展</t>
  </si>
  <si>
    <t>AI</t>
  </si>
  <si>
    <t>知识库：产品资料投喂；发票命名自动化</t>
  </si>
  <si>
    <t>流程优化</t>
  </si>
  <si>
    <t>年度协议管理打通；标签自动流转模块沟通</t>
  </si>
  <si>
    <t>知识库:
①文件 URL 规范化,修复中文文件名和空格导致链接打不开的问题口径。
②知识库龙虾待IT开通商品详情页端口后再开放给销售。
报价:
①耗材搜索排序 V1回归中：框架集成完成，12 个基础自动化测试通过，进入真实业务 Case 回归. 
②AI任务分流内测试运行：子代理分流可执行，日报改为人工触发验证口径
端口进展
自动关联：采购单中心、销售成品采购任务两个8月底完成
9月开展：自动生产转换——联动库存+占用+阈值+大小包装：
时间待定：自动收票——待收票（成品）</t>
  </si>
  <si>
    <t>AI/流程优化</t>
  </si>
  <si>
    <t xml:space="preserve">AI
1、知识库:已开放给销售,16项问题待优化
2、探索报价:任务分流内测已完成,待服务器购买后上线.
3、待决策:所有龙虾统一API密钥，以及服务器部署
流程优化:
1、供应商预付款:系统增加责任人和跟踪记录,余额原因便于后续跟进,已同步试剂
2、成品采购时可按库地或销售订单一键拆单提高采购效率。
3、增加隔离库(如正在生产转换过程中的,以及待上架的商品个数,增加直发但未到货个数的字段,方便做应备货数量的判断
4、增加近30天入库的个数便于后续AI对账
</t>
  </si>
  <si>
    <t xml:space="preserve">AI
1、下订单：测试优化中
2、知识库：前台详情页内容提取方案和IT沟通中
流程优化
1、公司自用商品采购流程优化，取消易快报
2、提需求：①纯源开通采购单中心DEEPFLOW的查看权限；②低温商品系统需同步给仓储；③开放给销售订单中心是直发还是发仓库的查看权限；④库存信息管理增加厂家批号搜索项，便于采购查找。⑤打印单取消6个订单号的限制，根据内容调整大小；
</t>
  </si>
  <si>
    <t>08-21</t>
  </si>
  <si>
    <t>①询货期和价格审批逻辑初步完成，待下周再最终确认。②、询报价录入逻辑梳理完成，待接口。③采购相关用workbuddy工具接近完成。</t>
  </si>
  <si>
    <t>①workbuddy看板细节优化：预警、富余库存判定、看板升级、分仓采购与调拨逻辑区分（重要）、断货原因追溯、链接两个重要变动提醒。②龙虾报货期逻辑已确认，新增大客户下单接口需求，服务器已部署</t>
  </si>
  <si>
    <t>①退换单中心：增加给仓库的备注，检查货物要求②询货期龙虾上线,详情页接口本周六做好,计量跟进的workbuddy框架搭建完成,数据采集虾上线</t>
  </si>
  <si>
    <t>仓库/品类</t>
  </si>
  <si>
    <t>6月库存金额</t>
  </si>
  <si>
    <t>6月年营业成本</t>
  </si>
  <si>
    <t>6月周转次数</t>
  </si>
  <si>
    <t>6月平均周转天数</t>
  </si>
  <si>
    <t>7月库存金额</t>
  </si>
  <si>
    <t>7月年营业成本</t>
  </si>
  <si>
    <t>7月周转次数</t>
  </si>
  <si>
    <t>7月平均周转天数</t>
  </si>
  <si>
    <t>库存金额环比变化</t>
  </si>
  <si>
    <t>周转天数变化(天）</t>
  </si>
  <si>
    <t>8月库存金额</t>
  </si>
  <si>
    <t>8月年营业成本</t>
  </si>
  <si>
    <t>8月周转次数</t>
  </si>
  <si>
    <t>8月平均周转天数</t>
  </si>
  <si>
    <t>主仓有阈值的明星产品</t>
  </si>
  <si>
    <t>主仓所有商品</t>
  </si>
  <si>
    <t>成都所有商品</t>
  </si>
  <si>
    <t>廊坊所有商品</t>
  </si>
  <si>
    <t>广州所有商品</t>
  </si>
  <si>
    <t>宜昌所有商品</t>
  </si>
  <si>
    <t>全部在售库库存合计</t>
  </si>
  <si>
    <t>本周小结</t>
  </si>
  <si>
    <t>①本周耗材订单环比上涨16%②仓储空间紧张,待下周转移部分商品到新飞路③明星产品重新确认,筛选原则为年度销售额超1万或毛利超2000元④计划上架MRO畅销品,已采集震坤行畅销数据,待进一步分析.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</si>
</sst>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\.0,&quot;万&quot;"/>
    <numFmt numFmtId="177" formatCode="0_ "/>
    <numFmt numFmtId="178" formatCode="0.0%"/>
  </numFmts>
  <fonts count="30">
    <font>
      <sz val="12"/>
      <color theme="1"/>
      <name val="等线"/>
      <charset val="134"/>
      <scheme val="minor"/>
    </font>
    <font>
      <sz val="11"/>
      <color rgb="FF000000"/>
      <name val="宋体"/>
      <charset val="134"/>
    </font>
    <font>
      <sz val="12"/>
      <color rgb="FF000000"/>
      <name val="等线"/>
      <charset val="134"/>
    </font>
    <font>
      <b/>
      <sz val="11"/>
      <color rgb="FF284D79"/>
      <name val="宋体"/>
      <charset val="134"/>
    </font>
    <font>
      <sz val="11"/>
      <color rgb="FF08090C"/>
      <name val="宋体"/>
      <charset val="134"/>
    </font>
    <font>
      <b/>
      <sz val="10"/>
      <color rgb="FF000000"/>
      <name val="等线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color rgb="FF000000"/>
      <name val="宋体"/>
      <charset val="134"/>
    </font>
    <font>
      <b/>
      <sz val="9"/>
      <color rgb="FF000000"/>
      <name val="宋体"/>
      <charset val="134"/>
    </font>
    <font>
      <sz val="9"/>
      <color rgb="FF000000"/>
      <name val="宋体"/>
      <charset val="134"/>
    </font>
    <font>
      <sz val="10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EAF3FC"/>
        <bgColor indexed="64"/>
      </patternFill>
    </fill>
    <fill>
      <patternFill patternType="solid">
        <fgColor rgb="FFB2A2C7"/>
        <bgColor indexed="64"/>
      </patternFill>
    </fill>
    <fill>
      <patternFill patternType="solid">
        <fgColor rgb="FFE5B9B7"/>
        <bgColor indexed="64"/>
      </patternFill>
    </fill>
    <fill>
      <patternFill patternType="solid">
        <fgColor rgb="FFCCC1D9"/>
        <bgColor indexed="64"/>
      </patternFill>
    </fill>
    <fill>
      <patternFill patternType="solid">
        <fgColor rgb="FFC3D69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6F2"/>
      </left>
      <right style="thin">
        <color rgb="FFD9E6F2"/>
      </right>
      <top style="thin">
        <color rgb="FFD9E6F2"/>
      </top>
      <bottom style="thin">
        <color rgb="FFD9E6F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7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10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>
      <alignment vertical="center"/>
    </xf>
    <xf numFmtId="49" fontId="1" fillId="0" borderId="1" xfId="0" applyNumberFormat="1" applyFont="1" applyBorder="1" applyAlignment="1" applyProtection="1"/>
    <xf numFmtId="0" fontId="1" fillId="0" borderId="0" xfId="0" applyFont="1" applyAlignment="1">
      <alignment wrapText="1"/>
    </xf>
    <xf numFmtId="0" fontId="0" fillId="0" borderId="0" xfId="0" applyAlignment="1">
      <alignment vertical="center"/>
    </xf>
    <xf numFmtId="0" fontId="3" fillId="2" borderId="1" xfId="0" applyFont="1" applyFill="1" applyBorder="1" applyAlignment="1" applyProtection="1">
      <alignment horizontal="center" wrapText="1"/>
    </xf>
    <xf numFmtId="0" fontId="1" fillId="0" borderId="1" xfId="0" applyFont="1" applyBorder="1" applyAlignment="1" applyProtection="1"/>
    <xf numFmtId="176" fontId="4" fillId="0" borderId="0" xfId="0" applyNumberFormat="1" applyFont="1" applyFill="1" applyAlignment="1">
      <alignment horizontal="center" vertical="center"/>
    </xf>
    <xf numFmtId="4" fontId="1" fillId="0" borderId="1" xfId="0" applyNumberFormat="1" applyFont="1" applyBorder="1" applyAlignment="1" applyProtection="1">
      <alignment wrapText="1"/>
    </xf>
    <xf numFmtId="4" fontId="1" fillId="0" borderId="1" xfId="0" applyNumberFormat="1" applyFont="1" applyBorder="1" applyAlignment="1" applyProtection="1"/>
    <xf numFmtId="10" fontId="1" fillId="0" borderId="0" xfId="0" applyNumberFormat="1" applyFont="1" applyAlignment="1"/>
    <xf numFmtId="177" fontId="4" fillId="0" borderId="0" xfId="0" applyNumberFormat="1" applyFont="1" applyFill="1" applyAlignment="1">
      <alignment horizontal="center" vertical="center"/>
    </xf>
    <xf numFmtId="10" fontId="1" fillId="0" borderId="0" xfId="0" applyNumberFormat="1" applyFont="1" applyFill="1" applyAlignment="1"/>
    <xf numFmtId="177" fontId="0" fillId="0" borderId="0" xfId="0" applyNumberFormat="1" applyFill="1" applyAlignment="1">
      <alignment vertical="center"/>
    </xf>
    <xf numFmtId="176" fontId="4" fillId="0" borderId="0" xfId="0" applyNumberFormat="1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4" fontId="1" fillId="0" borderId="0" xfId="0" applyNumberFormat="1" applyFont="1" applyAlignment="1">
      <alignment wrapText="1"/>
    </xf>
    <xf numFmtId="0" fontId="3" fillId="2" borderId="1" xfId="0" applyFont="1" applyFill="1" applyBorder="1" applyAlignment="1" applyProtection="1">
      <alignment horizontal="center"/>
    </xf>
    <xf numFmtId="0" fontId="1" fillId="0" borderId="1" xfId="0" applyFont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wrapText="1"/>
    </xf>
    <xf numFmtId="49" fontId="1" fillId="0" borderId="1" xfId="0" applyNumberFormat="1" applyFont="1" applyBorder="1" applyAlignment="1" applyProtection="1">
      <alignment horizontal="center" vertical="center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/>
    <xf numFmtId="177" fontId="1" fillId="0" borderId="0" xfId="0" applyNumberFormat="1" applyFont="1" applyAlignment="1"/>
    <xf numFmtId="0" fontId="5" fillId="0" borderId="0" xfId="0" applyFont="1" applyAlignment="1">
      <alignment horizontal="center" vertical="center"/>
    </xf>
    <xf numFmtId="177" fontId="5" fillId="3" borderId="0" xfId="0" applyNumberFormat="1" applyFont="1" applyFill="1" applyAlignment="1">
      <alignment horizontal="center" vertical="center"/>
    </xf>
    <xf numFmtId="177" fontId="5" fillId="4" borderId="0" xfId="0" applyNumberFormat="1" applyFont="1" applyFill="1" applyAlignment="1">
      <alignment horizontal="center" vertical="center"/>
    </xf>
    <xf numFmtId="17" fontId="1" fillId="0" borderId="1" xfId="0" applyNumberFormat="1" applyFont="1" applyBorder="1" applyAlignment="1" applyProtection="1"/>
    <xf numFmtId="0" fontId="1" fillId="0" borderId="0" xfId="0" applyFont="1">
      <alignment vertical="center"/>
    </xf>
    <xf numFmtId="177" fontId="1" fillId="3" borderId="0" xfId="0" applyNumberFormat="1" applyFont="1" applyFill="1">
      <alignment vertical="center"/>
    </xf>
    <xf numFmtId="177" fontId="1" fillId="4" borderId="0" xfId="0" applyNumberFormat="1" applyFont="1" applyFill="1">
      <alignment vertical="center"/>
    </xf>
    <xf numFmtId="177" fontId="1" fillId="3" borderId="0" xfId="0" applyNumberFormat="1" applyFont="1" applyFill="1" applyAlignment="1"/>
    <xf numFmtId="177" fontId="1" fillId="4" borderId="0" xfId="0" applyNumberFormat="1" applyFont="1" applyFill="1" applyAlignment="1"/>
    <xf numFmtId="10" fontId="0" fillId="0" borderId="0" xfId="0" applyNumberFormat="1">
      <alignment vertical="center"/>
    </xf>
    <xf numFmtId="0" fontId="3" fillId="5" borderId="1" xfId="0" applyFont="1" applyFill="1" applyBorder="1" applyAlignment="1" applyProtection="1">
      <alignment horizontal="center" vertical="center"/>
    </xf>
    <xf numFmtId="0" fontId="3" fillId="6" borderId="1" xfId="0" applyFont="1" applyFill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5" borderId="1" xfId="0" applyFont="1" applyFill="1" applyBorder="1" applyAlignment="1" applyProtection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</xf>
    <xf numFmtId="178" fontId="1" fillId="6" borderId="1" xfId="0" applyNumberFormat="1" applyFont="1" applyFill="1" applyBorder="1" applyAlignment="1" applyProtection="1">
      <alignment horizontal="center" vertical="center"/>
    </xf>
    <xf numFmtId="178" fontId="1" fillId="0" borderId="1" xfId="0" applyNumberFormat="1" applyFont="1" applyBorder="1" applyAlignment="1" applyProtection="1"/>
    <xf numFmtId="0" fontId="3" fillId="4" borderId="1" xfId="0" applyFont="1" applyFill="1" applyBorder="1" applyAlignment="1" applyProtection="1">
      <alignment horizontal="center"/>
    </xf>
    <xf numFmtId="0" fontId="3" fillId="4" borderId="1" xfId="0" applyFont="1" applyFill="1" applyBorder="1" applyAlignment="1" applyProtection="1">
      <alignment horizontal="center" wrapText="1"/>
    </xf>
    <xf numFmtId="49" fontId="1" fillId="4" borderId="1" xfId="0" applyNumberFormat="1" applyFont="1" applyFill="1" applyBorder="1" applyAlignment="1" applyProtection="1"/>
    <xf numFmtId="0" fontId="1" fillId="4" borderId="1" xfId="0" applyFont="1" applyFill="1" applyBorder="1" applyAlignment="1" applyProtection="1">
      <alignment wrapText="1"/>
    </xf>
    <xf numFmtId="0" fontId="1" fillId="4" borderId="0" xfId="0" applyFont="1" applyFill="1" applyAlignment="1"/>
    <xf numFmtId="9" fontId="1" fillId="0" borderId="0" xfId="0" applyNumberFormat="1" applyFont="1" applyAlignment="1"/>
    <xf numFmtId="49" fontId="1" fillId="4" borderId="1" xfId="0" applyNumberFormat="1" applyFont="1" applyFill="1" applyBorder="1" applyAlignment="1" applyProtection="1" quotePrefix="1"/>
    <xf numFmtId="49" fontId="1" fillId="0" borderId="1" xfId="0" applyNumberFormat="1" applyFont="1" applyBorder="1" applyAlignment="1" applyProtection="1" quotePrefix="1"/>
    <xf numFmtId="0" fontId="1" fillId="0" borderId="0" xfId="0" applyFont="1" applyAlignment="1" quotePrefix="1"/>
    <xf numFmtId="17" fontId="1" fillId="0" borderId="1" xfId="0" applyNumberFormat="1" applyFont="1" applyBorder="1" applyAlignment="1" applyProtection="1" quotePrefix="1"/>
    <xf numFmtId="0" fontId="1" fillId="0" borderId="0" xfId="0" applyFont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8"/>
  <sheetViews>
    <sheetView workbookViewId="0">
      <selection activeCell="G15" sqref="G15"/>
    </sheetView>
  </sheetViews>
  <sheetFormatPr defaultColWidth="9" defaultRowHeight="13.5" customHeight="1" outlineLevelRow="7"/>
  <cols>
    <col min="3" max="3" width="11.59375"/>
    <col min="5" max="5" width="12.7109375"/>
    <col min="6" max="6" width="14.6640625" style="1" customWidth="1"/>
    <col min="7" max="7" width="16.3359375" style="1" customWidth="1"/>
    <col min="8" max="8" width="15.1640625" style="1" customWidth="1"/>
    <col min="9" max="9" width="16.3359375" style="1" customWidth="1"/>
    <col min="10" max="10" width="12.8359375" style="1"/>
  </cols>
  <sheetData>
    <row r="1" ht="40.5" customHeight="1" spans="1:10">
      <c r="A1" s="43" t="s">
        <v>0</v>
      </c>
      <c r="B1" s="6" t="s">
        <v>1</v>
      </c>
      <c r="C1" s="44" t="s">
        <v>2</v>
      </c>
      <c r="D1" s="6" t="s">
        <v>3</v>
      </c>
      <c r="E1" s="44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customHeight="1" spans="1:10">
      <c r="A2" s="45" t="s">
        <v>10</v>
      </c>
      <c r="B2" s="20">
        <v>5191</v>
      </c>
      <c r="C2" s="46">
        <v>6571276.82</v>
      </c>
      <c r="D2" s="1">
        <v>1946</v>
      </c>
      <c r="E2" s="47">
        <v>10539098.29</v>
      </c>
      <c r="F2" s="1">
        <v>102</v>
      </c>
      <c r="G2" s="1">
        <v>459589.47</v>
      </c>
      <c r="H2" s="1">
        <v>431</v>
      </c>
      <c r="I2" s="1">
        <v>4389773.64</v>
      </c>
    </row>
    <row r="3" customHeight="1" spans="1:10">
      <c r="A3" s="45" t="s">
        <v>11</v>
      </c>
      <c r="B3" s="1">
        <v>4684</v>
      </c>
      <c r="C3" s="47">
        <v>8243621.3</v>
      </c>
      <c r="D3" s="1">
        <v>1917</v>
      </c>
      <c r="E3" s="47">
        <v>11528192.33</v>
      </c>
      <c r="F3" s="1">
        <v>98</v>
      </c>
      <c r="G3" s="1">
        <v>455024.27</v>
      </c>
      <c r="H3" s="1">
        <v>356</v>
      </c>
      <c r="I3" s="1">
        <v>3925227.65</v>
      </c>
      <c r="J3" s="48">
        <f>(C3-C2)/C2</f>
        <v>0.254493080387382</v>
      </c>
    </row>
    <row r="4" customHeight="1" spans="1:10">
      <c r="A4" s="49" t="s">
        <v>12</v>
      </c>
      <c r="B4" s="1">
        <v>4209</v>
      </c>
      <c r="C4" s="47">
        <v>6299630.46</v>
      </c>
      <c r="D4" s="1">
        <v>1865</v>
      </c>
      <c r="E4" s="47">
        <v>11679168.68</v>
      </c>
      <c r="F4" s="1">
        <v>99</v>
      </c>
      <c r="G4" s="1">
        <v>421603.45</v>
      </c>
      <c r="H4" s="1">
        <v>302</v>
      </c>
      <c r="I4" s="1">
        <v>3451864.23</v>
      </c>
      <c r="J4" s="48">
        <f>(C4-C3)/C3</f>
        <v>-0.235817581770769</v>
      </c>
    </row>
    <row r="5" customHeight="1" spans="1:10">
      <c r="A5" s="49" t="s">
        <v>13</v>
      </c>
      <c r="B5" s="1">
        <v>3691</v>
      </c>
      <c r="C5" s="47">
        <v>4858299.45</v>
      </c>
      <c r="D5" s="1">
        <v>1645</v>
      </c>
      <c r="E5" s="47">
        <v>10458449.14</v>
      </c>
      <c r="F5" s="1">
        <v>95</v>
      </c>
      <c r="G5" s="1">
        <v>385676.99</v>
      </c>
      <c r="H5" s="1">
        <v>278</v>
      </c>
      <c r="I5" s="1">
        <v>3212199.99</v>
      </c>
      <c r="J5" s="48">
        <f>(C5-C4)/C4</f>
        <v>-0.228796120526727</v>
      </c>
    </row>
    <row r="6" customHeight="1" spans="1:10">
      <c r="A6" s="49" t="s">
        <v>14</v>
      </c>
      <c r="B6" s="1">
        <v>5123</v>
      </c>
      <c r="C6" s="47">
        <v>6522812.78</v>
      </c>
      <c r="D6" s="1">
        <v>2054</v>
      </c>
      <c r="E6" s="47">
        <v>11997970.5</v>
      </c>
      <c r="F6" s="1">
        <v>91</v>
      </c>
      <c r="G6" s="1">
        <v>377824.39</v>
      </c>
      <c r="H6" s="1">
        <v>252</v>
      </c>
      <c r="I6" s="1">
        <v>3011737.21</v>
      </c>
      <c r="J6" s="48">
        <f>(C6-C5)/C5</f>
        <v>0.34261233732721</v>
      </c>
    </row>
    <row r="7" customHeight="1" spans="1:10">
      <c r="A7" s="45" t="s">
        <v>15</v>
      </c>
      <c r="B7" s="1">
        <v>5180</v>
      </c>
      <c r="C7" s="47">
        <v>7345266.86</v>
      </c>
      <c r="D7" s="1">
        <v>2449</v>
      </c>
      <c r="E7" s="47">
        <v>12930932.43</v>
      </c>
      <c r="F7" s="1">
        <v>88</v>
      </c>
      <c r="G7" s="1">
        <v>355784.71</v>
      </c>
      <c r="H7" s="1">
        <v>233</v>
      </c>
      <c r="I7" s="1">
        <v>2743976.67</v>
      </c>
      <c r="J7" s="48">
        <f>(C7-C6)/C6</f>
        <v>0.126088868060383</v>
      </c>
    </row>
    <row r="8" customHeight="1" spans="1:10">
      <c r="A8" s="49" t="s">
        <v>16</v>
      </c>
      <c r="B8" s="1">
        <v>6524</v>
      </c>
      <c r="C8" s="47">
        <v>8537316.3</v>
      </c>
      <c r="D8" s="1">
        <v>2460</v>
      </c>
      <c r="E8" s="47">
        <v>13335319.79</v>
      </c>
      <c r="F8" s="1">
        <v>87</v>
      </c>
      <c r="G8" s="1">
        <v>355524.71</v>
      </c>
      <c r="H8" s="1">
        <v>218</v>
      </c>
      <c r="I8" s="1">
        <v>2588635.57</v>
      </c>
      <c r="J8" s="48">
        <f>(C8-C7)/C7</f>
        <v>0.162288105077778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9"/>
  <sheetViews>
    <sheetView workbookViewId="0">
      <pane ySplit="1" topLeftCell="A2" activePane="bottomLeft" state="frozen"/>
      <selection/>
      <selection pane="bottomLeft" activeCell="D14" sqref="D14"/>
    </sheetView>
  </sheetViews>
  <sheetFormatPr defaultColWidth="9" defaultRowHeight="13.5" customHeight="1"/>
  <cols>
    <col min="1" max="1" width="6.8359375" style="1" customWidth="1"/>
    <col min="2" max="6" width="18" style="23" customWidth="1"/>
    <col min="7" max="7" width="18" style="1" customWidth="1"/>
    <col min="8" max="8" width="9.1640625" style="23" customWidth="1"/>
    <col min="9" max="9" width="19" style="1" customWidth="1"/>
    <col min="10" max="11" width="18" style="1" customWidth="1"/>
  </cols>
  <sheetData>
    <row r="1" customHeight="1" spans="1:11">
      <c r="A1" s="18" t="s">
        <v>0</v>
      </c>
      <c r="B1" s="36" t="s">
        <v>17</v>
      </c>
      <c r="C1" s="36" t="s">
        <v>18</v>
      </c>
      <c r="D1" s="37" t="s">
        <v>19</v>
      </c>
      <c r="E1" s="37" t="s">
        <v>20</v>
      </c>
      <c r="F1" s="37" t="s">
        <v>21</v>
      </c>
      <c r="G1" s="18" t="s">
        <v>22</v>
      </c>
      <c r="H1" s="38" t="s">
        <v>23</v>
      </c>
      <c r="I1" s="18" t="s">
        <v>24</v>
      </c>
      <c r="J1" s="18" t="s">
        <v>25</v>
      </c>
      <c r="K1" s="18" t="s">
        <v>26</v>
      </c>
    </row>
    <row r="2" customHeight="1" spans="1:11">
      <c r="A2" s="3" t="s">
        <v>27</v>
      </c>
      <c r="B2" s="39">
        <v>1039</v>
      </c>
      <c r="C2" s="39">
        <v>2486</v>
      </c>
      <c r="D2" s="40">
        <v>1169</v>
      </c>
      <c r="E2" s="40">
        <v>521</v>
      </c>
      <c r="F2" s="41">
        <v>0.446</v>
      </c>
      <c r="G2" s="10">
        <v>4141198.82</v>
      </c>
      <c r="H2" s="19">
        <v>15</v>
      </c>
      <c r="I2" s="10">
        <v>276079.92</v>
      </c>
      <c r="J2" s="10">
        <v>165.7</v>
      </c>
      <c r="K2" s="42"/>
    </row>
    <row r="3" customHeight="1" spans="1:11">
      <c r="A3" s="3" t="s">
        <v>10</v>
      </c>
      <c r="B3" s="39">
        <v>1169</v>
      </c>
      <c r="C3" s="39">
        <v>3698</v>
      </c>
      <c r="D3" s="40">
        <v>1138</v>
      </c>
      <c r="E3" s="40">
        <v>515</v>
      </c>
      <c r="F3" s="41">
        <v>0.453</v>
      </c>
      <c r="G3" s="10">
        <v>5760008.07</v>
      </c>
      <c r="H3" s="19">
        <v>15</v>
      </c>
      <c r="I3" s="10">
        <v>384000.54</v>
      </c>
      <c r="J3" s="10">
        <v>246.5</v>
      </c>
      <c r="K3" s="42">
        <v>0.391</v>
      </c>
    </row>
    <row r="4" customHeight="1" spans="1:11">
      <c r="A4" s="50" t="s">
        <v>28</v>
      </c>
      <c r="B4" s="39">
        <v>845</v>
      </c>
      <c r="C4" s="39">
        <v>2042</v>
      </c>
      <c r="D4" s="40">
        <v>893</v>
      </c>
      <c r="E4" s="40">
        <v>448</v>
      </c>
      <c r="F4" s="41">
        <f t="shared" ref="F4:F8" si="0">E4/D4</f>
        <v>0.501679731243001</v>
      </c>
      <c r="G4" s="10">
        <v>4556368.56</v>
      </c>
      <c r="H4" s="19">
        <v>15</v>
      </c>
      <c r="I4" s="10">
        <f t="shared" ref="I4:I8" si="1">G4/H4</f>
        <v>303757.904</v>
      </c>
      <c r="J4" s="10">
        <f t="shared" ref="J4:J8" si="2">C4/H4</f>
        <v>136.133333333333</v>
      </c>
      <c r="K4" s="42">
        <f>(G4-G3)/G3</f>
        <v>-0.208964899939802</v>
      </c>
    </row>
    <row r="5" customHeight="1" spans="1:11">
      <c r="A5" s="50" t="s">
        <v>12</v>
      </c>
      <c r="B5" s="39">
        <v>883</v>
      </c>
      <c r="C5" s="39">
        <v>2068</v>
      </c>
      <c r="D5" s="40">
        <v>1016</v>
      </c>
      <c r="E5" s="40">
        <v>472</v>
      </c>
      <c r="F5" s="41">
        <f t="shared" si="0"/>
        <v>0.464566929133858</v>
      </c>
      <c r="G5" s="10">
        <v>5067066.46</v>
      </c>
      <c r="H5" s="19">
        <v>15</v>
      </c>
      <c r="I5" s="10">
        <f t="shared" si="1"/>
        <v>337804.430666667</v>
      </c>
      <c r="J5" s="10">
        <f t="shared" si="2"/>
        <v>137.866666666667</v>
      </c>
      <c r="K5" s="42">
        <f>(G5-G4)/G4</f>
        <v>0.112084413996571</v>
      </c>
    </row>
    <row r="6" customHeight="1" spans="1:11">
      <c r="A6" s="50" t="s">
        <v>13</v>
      </c>
      <c r="B6" s="39">
        <v>909</v>
      </c>
      <c r="C6" s="39">
        <v>1887</v>
      </c>
      <c r="D6" s="40">
        <v>1070</v>
      </c>
      <c r="E6" s="40">
        <v>500</v>
      </c>
      <c r="F6" s="41">
        <v>0.4673</v>
      </c>
      <c r="G6" s="10">
        <v>3856893.47</v>
      </c>
      <c r="H6" s="19">
        <v>15</v>
      </c>
      <c r="I6" s="10">
        <v>257126.2</v>
      </c>
      <c r="J6" s="10">
        <v>125.8</v>
      </c>
      <c r="K6" s="42">
        <f>(G6-G5)/G5</f>
        <v>-0.238831086892829</v>
      </c>
    </row>
    <row r="7" customHeight="1" spans="1:11">
      <c r="A7" s="50" t="s">
        <v>14</v>
      </c>
      <c r="B7" s="39">
        <v>864</v>
      </c>
      <c r="C7" s="39">
        <v>2534</v>
      </c>
      <c r="D7" s="40">
        <v>803</v>
      </c>
      <c r="E7" s="40">
        <v>354</v>
      </c>
      <c r="F7" s="41">
        <v>0.440846824408468</v>
      </c>
      <c r="G7" s="10">
        <v>3869198.47</v>
      </c>
      <c r="H7" s="19">
        <v>15</v>
      </c>
      <c r="I7" s="10">
        <v>257946.564666667</v>
      </c>
      <c r="J7" s="10">
        <v>168.933333333333</v>
      </c>
      <c r="K7" s="42">
        <f>(G7-G6)/G6</f>
        <v>0.00319039146289928</v>
      </c>
    </row>
    <row r="8" customHeight="1" spans="1:11">
      <c r="A8" s="3" t="s">
        <v>15</v>
      </c>
      <c r="B8" s="39">
        <v>1135</v>
      </c>
      <c r="C8" s="39">
        <v>2403</v>
      </c>
      <c r="D8" s="40">
        <v>1329</v>
      </c>
      <c r="E8" s="40">
        <v>688</v>
      </c>
      <c r="F8" s="41">
        <f t="shared" si="0"/>
        <v>0.517682468021068</v>
      </c>
      <c r="G8" s="10">
        <v>5454644.26</v>
      </c>
      <c r="H8" s="19">
        <v>15</v>
      </c>
      <c r="I8" s="10">
        <f t="shared" si="1"/>
        <v>363642.950666667</v>
      </c>
      <c r="J8" s="10">
        <f t="shared" si="2"/>
        <v>160.2</v>
      </c>
      <c r="K8" s="42">
        <f>(G8-G7)/G7</f>
        <v>0.409760781798303</v>
      </c>
    </row>
    <row r="9" customHeight="1" spans="1:11">
      <c r="A9" s="50" t="s">
        <v>16</v>
      </c>
      <c r="B9" s="39">
        <v>1124</v>
      </c>
      <c r="C9" s="39">
        <v>2712</v>
      </c>
      <c r="D9" s="40">
        <v>1298</v>
      </c>
      <c r="E9" s="40">
        <v>582</v>
      </c>
      <c r="F9" s="41">
        <f>E9/D9</f>
        <v>0.448382126348228</v>
      </c>
      <c r="G9" s="10">
        <v>5147364.08</v>
      </c>
      <c r="H9" s="19">
        <v>15</v>
      </c>
      <c r="I9" s="10">
        <f>G9/H9</f>
        <v>343157.605333333</v>
      </c>
      <c r="J9" s="10">
        <f>C9/H9</f>
        <v>180.8</v>
      </c>
      <c r="K9" s="42">
        <f>(G9-G8)/G8</f>
        <v>-0.0563336792196233</v>
      </c>
    </row>
  </sheetData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8"/>
  <sheetViews>
    <sheetView workbookViewId="0">
      <pane ySplit="1" topLeftCell="A2" activePane="bottomLeft" state="frozen"/>
      <selection/>
      <selection pane="bottomLeft" activeCell="E8" sqref="E8"/>
    </sheetView>
  </sheetViews>
  <sheetFormatPr defaultColWidth="9" defaultRowHeight="13.5" customHeight="1" outlineLevelRow="7" outlineLevelCol="4"/>
  <cols>
    <col min="1" max="5" width="18" style="1" customWidth="1"/>
  </cols>
  <sheetData>
    <row r="1" customHeight="1" spans="1:5">
      <c r="A1" s="18" t="s">
        <v>0</v>
      </c>
      <c r="B1" s="18" t="s">
        <v>29</v>
      </c>
      <c r="C1" s="18" t="s">
        <v>30</v>
      </c>
      <c r="D1" s="18" t="s">
        <v>31</v>
      </c>
      <c r="E1" s="18" t="s">
        <v>32</v>
      </c>
    </row>
    <row r="2" customHeight="1" spans="1:5">
      <c r="A2" s="50" t="s">
        <v>16</v>
      </c>
      <c r="B2">
        <v>3183</v>
      </c>
      <c r="C2">
        <v>71</v>
      </c>
      <c r="D2" s="35">
        <f>C2/B2</f>
        <v>0.022306000628338</v>
      </c>
      <c r="E2" t="s">
        <v>33</v>
      </c>
    </row>
    <row r="3" customHeight="1" spans="1:5">
      <c r="A3"/>
      <c r="B3"/>
      <c r="C3"/>
      <c r="D3"/>
      <c r="E3"/>
    </row>
    <row r="4" customHeight="1" spans="1:5">
      <c r="A4"/>
      <c r="B4"/>
      <c r="C4"/>
      <c r="D4"/>
      <c r="E4"/>
    </row>
    <row r="5" customHeight="1" spans="1:5">
      <c r="A5"/>
      <c r="B5"/>
      <c r="C5"/>
      <c r="D5"/>
      <c r="E5"/>
    </row>
    <row r="6" customHeight="1" spans="1:5">
      <c r="A6"/>
      <c r="B6"/>
      <c r="C6"/>
      <c r="D6"/>
      <c r="E6"/>
    </row>
    <row r="7" customHeight="1" spans="1:5">
      <c r="A7"/>
      <c r="B7"/>
      <c r="C7"/>
      <c r="D7"/>
      <c r="E7"/>
    </row>
    <row r="8" customHeight="1" spans="1:5">
      <c r="A8"/>
      <c r="B8"/>
      <c r="C8"/>
      <c r="D8"/>
      <c r="E8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9"/>
  <sheetViews>
    <sheetView workbookViewId="0">
      <pane ySplit="1" topLeftCell="A2" activePane="bottomLeft" state="frozen"/>
      <selection/>
      <selection pane="bottomLeft" activeCell="A9" sqref="A9"/>
    </sheetView>
  </sheetViews>
  <sheetFormatPr defaultColWidth="9" defaultRowHeight="13.5" customHeight="1" outlineLevelCol="3"/>
  <cols>
    <col min="1" max="4" width="18" style="1" customWidth="1"/>
  </cols>
  <sheetData>
    <row r="1" customHeight="1" spans="1:4">
      <c r="A1" s="18" t="s">
        <v>0</v>
      </c>
      <c r="B1" s="18" t="s">
        <v>34</v>
      </c>
      <c r="C1" s="18" t="s">
        <v>35</v>
      </c>
      <c r="D1" s="18" t="s">
        <v>36</v>
      </c>
    </row>
    <row r="2" customHeight="1" spans="1:4">
      <c r="A2" s="3" t="s">
        <v>27</v>
      </c>
      <c r="B2" s="10">
        <v>4971.97</v>
      </c>
      <c r="C2" s="10">
        <v>56502.88</v>
      </c>
      <c r="D2" s="10">
        <v>61474.85</v>
      </c>
    </row>
    <row r="3" customHeight="1" spans="1:4">
      <c r="A3" s="3" t="s">
        <v>10</v>
      </c>
      <c r="B3" s="10">
        <v>5210.54</v>
      </c>
      <c r="C3" s="10">
        <v>25998.03</v>
      </c>
      <c r="D3" s="10">
        <v>31208.57</v>
      </c>
    </row>
    <row r="4" customHeight="1" spans="1:4">
      <c r="A4" s="51" t="s">
        <v>28</v>
      </c>
      <c r="B4" s="10">
        <v>17901.513</v>
      </c>
      <c r="C4" s="10">
        <v>5144.33</v>
      </c>
      <c r="D4" s="10">
        <f>B4+C4</f>
        <v>23045.843</v>
      </c>
    </row>
    <row r="5" customHeight="1" spans="1:4">
      <c r="A5" s="51" t="s">
        <v>12</v>
      </c>
      <c r="B5" s="10">
        <v>8965.11</v>
      </c>
      <c r="C5" s="10">
        <v>41747.28</v>
      </c>
      <c r="D5" s="10">
        <f>B5+C5</f>
        <v>50712.39</v>
      </c>
    </row>
    <row r="6" customHeight="1" spans="1:4">
      <c r="A6" s="51" t="s">
        <v>13</v>
      </c>
      <c r="B6" s="10">
        <v>9220.52</v>
      </c>
      <c r="C6" s="10">
        <v>9011.29</v>
      </c>
      <c r="D6" s="10">
        <f>B6+C6</f>
        <v>18231.81</v>
      </c>
    </row>
    <row r="7" customHeight="1" spans="1:4">
      <c r="A7" s="50" t="s">
        <v>14</v>
      </c>
      <c r="B7" s="10">
        <v>4373.05</v>
      </c>
      <c r="C7" s="10">
        <v>56280.08</v>
      </c>
      <c r="D7" s="10">
        <f>B7+C7</f>
        <v>60653.13</v>
      </c>
    </row>
    <row r="8" customHeight="1" spans="1:4">
      <c r="A8" s="3" t="s">
        <v>15</v>
      </c>
      <c r="B8" s="1">
        <v>7087.52</v>
      </c>
      <c r="C8" s="1">
        <v>103017.42</v>
      </c>
      <c r="D8" s="10">
        <f>B8+C8</f>
        <v>110104.94</v>
      </c>
    </row>
    <row r="9" customHeight="1" spans="1:4">
      <c r="A9" s="50" t="s">
        <v>16</v>
      </c>
      <c r="B9" s="1">
        <v>10527.14</v>
      </c>
      <c r="C9" s="1">
        <v>5511</v>
      </c>
      <c r="D9" s="10">
        <f>B9+C9</f>
        <v>16038.14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Q6"/>
  <sheetViews>
    <sheetView topLeftCell="E1" workbookViewId="0">
      <pane ySplit="1" topLeftCell="A2" activePane="bottomLeft" state="frozen"/>
      <selection/>
      <selection pane="bottomLeft" activeCell="I17" sqref="I17"/>
    </sheetView>
  </sheetViews>
  <sheetFormatPr defaultColWidth="9" defaultRowHeight="13.5" customHeight="1" outlineLevelRow="5"/>
  <cols>
    <col min="1" max="1" width="18" style="1" customWidth="1"/>
    <col min="2" max="5" width="14.1640625" style="1" customWidth="1"/>
    <col min="6" max="6" width="19.3359375" style="25" customWidth="1"/>
    <col min="7" max="9" width="14.1640625" style="25" customWidth="1"/>
    <col min="10" max="13" width="12.8359375" style="25"/>
  </cols>
  <sheetData>
    <row r="1" s="4" customFormat="1" customHeight="1" spans="1:17">
      <c r="A1" s="6" t="s">
        <v>37</v>
      </c>
      <c r="B1" s="26" t="s">
        <v>38</v>
      </c>
      <c r="C1" s="26" t="s">
        <v>39</v>
      </c>
      <c r="D1" s="26" t="s">
        <v>40</v>
      </c>
      <c r="E1" s="26" t="s">
        <v>41</v>
      </c>
      <c r="F1" s="27" t="s">
        <v>42</v>
      </c>
      <c r="G1" s="27" t="s">
        <v>43</v>
      </c>
      <c r="H1" s="27" t="s">
        <v>44</v>
      </c>
      <c r="I1" s="27" t="s">
        <v>45</v>
      </c>
      <c r="J1" s="28" t="s">
        <v>46</v>
      </c>
      <c r="K1" s="28" t="s">
        <v>47</v>
      </c>
      <c r="L1" s="28" t="s">
        <v>48</v>
      </c>
      <c r="M1" s="28" t="s">
        <v>49</v>
      </c>
      <c r="N1" s="26" t="s">
        <v>50</v>
      </c>
      <c r="O1" s="26" t="s">
        <v>51</v>
      </c>
      <c r="P1" s="26" t="s">
        <v>52</v>
      </c>
      <c r="Q1" s="26" t="s">
        <v>53</v>
      </c>
    </row>
    <row r="2" customHeight="1" spans="1:17">
      <c r="A2" s="29" t="s">
        <v>54</v>
      </c>
      <c r="B2" s="30">
        <v>8446</v>
      </c>
      <c r="C2" s="30">
        <v>1301</v>
      </c>
      <c r="D2" s="30">
        <v>1040</v>
      </c>
      <c r="E2" s="30">
        <v>1202</v>
      </c>
      <c r="F2" s="31">
        <v>1814.43594600995</v>
      </c>
      <c r="G2" s="31">
        <v>1091.67947732513</v>
      </c>
      <c r="H2" s="31">
        <v>558.466346153846</v>
      </c>
      <c r="I2" s="31">
        <v>519.371048252912</v>
      </c>
      <c r="J2" s="32">
        <v>543.79694529955</v>
      </c>
      <c r="K2" s="32">
        <v>289.948501152959</v>
      </c>
      <c r="L2" s="32">
        <v>197.801923076923</v>
      </c>
      <c r="M2" s="32">
        <v>184.280366056572</v>
      </c>
      <c r="N2" s="30">
        <v>225323</v>
      </c>
      <c r="O2" s="30">
        <v>33193</v>
      </c>
      <c r="P2" s="30">
        <v>24736</v>
      </c>
      <c r="Q2" s="30">
        <v>22844</v>
      </c>
    </row>
    <row r="3" customHeight="1" spans="1:17">
      <c r="A3" s="52" t="s">
        <v>55</v>
      </c>
      <c r="B3" s="30">
        <v>8446</v>
      </c>
      <c r="C3" s="30">
        <v>1100</v>
      </c>
      <c r="D3" s="30">
        <v>1040</v>
      </c>
      <c r="E3" s="30">
        <v>1202</v>
      </c>
      <c r="F3" s="33">
        <f>18279769/B3</f>
        <v>2164.31079801089</v>
      </c>
      <c r="G3" s="33">
        <f>2542454/C3</f>
        <v>2311.32181818182</v>
      </c>
      <c r="H3" s="33">
        <f>727465/D3</f>
        <v>699.485576923077</v>
      </c>
      <c r="I3" s="33">
        <f>955153/E3</f>
        <v>794.636439267887</v>
      </c>
      <c r="J3" s="34">
        <f>5257975/B3</f>
        <v>622.540255742363</v>
      </c>
      <c r="K3" s="34">
        <f>629021/C3</f>
        <v>571.837272727273</v>
      </c>
      <c r="L3" s="34">
        <f>251054/D3</f>
        <v>241.398076923077</v>
      </c>
      <c r="M3" s="34">
        <f>275215/E3</f>
        <v>228.964226289517</v>
      </c>
      <c r="N3" s="30">
        <v>225323</v>
      </c>
      <c r="O3" s="30">
        <v>20000</v>
      </c>
      <c r="P3" s="30">
        <v>24736</v>
      </c>
      <c r="Q3" s="30">
        <v>22844</v>
      </c>
    </row>
    <row r="4" customHeight="1" spans="1:17">
      <c r="A4" s="52" t="s">
        <v>56</v>
      </c>
      <c r="B4" s="30">
        <v>8446</v>
      </c>
      <c r="C4" s="30">
        <v>1100</v>
      </c>
      <c r="D4" s="30">
        <v>1040</v>
      </c>
      <c r="E4" s="30">
        <v>1202</v>
      </c>
      <c r="F4" s="33">
        <f>16047133/B3</f>
        <v>1899.96838740232</v>
      </c>
      <c r="G4" s="33">
        <f>2214298/C3</f>
        <v>2012.99818181818</v>
      </c>
      <c r="H4" s="33">
        <f>443140/D3</f>
        <v>426.096153846154</v>
      </c>
      <c r="I4" s="33">
        <f>718500/E3</f>
        <v>597.753743760399</v>
      </c>
      <c r="J4" s="34">
        <f>4565965/B3</f>
        <v>540.606796116505</v>
      </c>
      <c r="K4" s="34">
        <f>550000/C3</f>
        <v>500</v>
      </c>
      <c r="L4" s="34">
        <f>156175/D3</f>
        <v>150.168269230769</v>
      </c>
      <c r="M4" s="34">
        <f>202780/E3</f>
        <v>168.702163061564</v>
      </c>
      <c r="N4" s="30">
        <v>225323</v>
      </c>
      <c r="O4" s="30">
        <v>20000</v>
      </c>
      <c r="P4" s="30">
        <v>24736</v>
      </c>
      <c r="Q4" s="30">
        <v>22844</v>
      </c>
    </row>
    <row r="6" customHeight="1" spans="1:17">
      <c r="N6">
        <f>29.3*0.12</f>
        <v>3.516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1"/>
  <sheetViews>
    <sheetView workbookViewId="0">
      <pane ySplit="1" topLeftCell="A5" activePane="bottomLeft" state="frozen"/>
      <selection/>
      <selection pane="bottomLeft" activeCell="C9" sqref="C9"/>
    </sheetView>
  </sheetViews>
  <sheetFormatPr defaultColWidth="9" defaultRowHeight="13.5" customHeight="1" outlineLevelCol="2"/>
  <cols>
    <col min="1" max="1" width="12" style="1" customWidth="1"/>
    <col min="2" max="2" width="12.8359375" style="1" customWidth="1"/>
    <col min="3" max="3" width="65.9765625" style="1" customWidth="1"/>
  </cols>
  <sheetData>
    <row r="1" customHeight="1" spans="1:3">
      <c r="A1" s="18" t="s">
        <v>0</v>
      </c>
      <c r="B1" s="18" t="s">
        <v>57</v>
      </c>
      <c r="C1" s="18" t="s">
        <v>58</v>
      </c>
    </row>
    <row r="2" customHeight="1" spans="1:3">
      <c r="A2" s="3" t="s">
        <v>27</v>
      </c>
      <c r="B2" s="19" t="s">
        <v>59</v>
      </c>
      <c r="C2" s="20" t="s">
        <v>60</v>
      </c>
    </row>
    <row r="3" customHeight="1" spans="1:3">
      <c r="A3" s="3" t="s">
        <v>10</v>
      </c>
      <c r="B3" s="19" t="s">
        <v>61</v>
      </c>
      <c r="C3" s="20" t="s">
        <v>62</v>
      </c>
    </row>
    <row r="4" ht="168" customHeight="1" spans="1:3">
      <c r="A4" s="21" t="s">
        <v>11</v>
      </c>
      <c r="B4" s="19" t="s">
        <v>59</v>
      </c>
      <c r="C4" s="22" t="s">
        <v>63</v>
      </c>
    </row>
    <row r="5" ht="146" customHeight="1" spans="1:3">
      <c r="A5" s="53" t="s">
        <v>12</v>
      </c>
      <c r="B5" s="23" t="s">
        <v>64</v>
      </c>
      <c r="C5" s="22" t="s">
        <v>65</v>
      </c>
    </row>
    <row r="6" ht="114" customHeight="1" spans="1:3">
      <c r="A6" s="53" t="s">
        <v>13</v>
      </c>
      <c r="B6" s="23" t="s">
        <v>64</v>
      </c>
      <c r="C6" s="22" t="s">
        <v>66</v>
      </c>
    </row>
    <row r="7" customHeight="1" spans="1:3">
      <c r="A7" s="24" t="s">
        <v>67</v>
      </c>
      <c r="B7" s="23" t="s">
        <v>64</v>
      </c>
      <c r="C7" s="1" t="s">
        <v>68</v>
      </c>
    </row>
    <row r="8" ht="43" customHeight="1" spans="1:3">
      <c r="A8" s="3" t="s">
        <v>15</v>
      </c>
      <c r="B8" s="23" t="s">
        <v>64</v>
      </c>
      <c r="C8" s="4" t="s">
        <v>69</v>
      </c>
    </row>
    <row r="9" ht="36" customHeight="1" spans="1:3">
      <c r="A9" s="50" t="s">
        <v>16</v>
      </c>
      <c r="B9" s="23" t="s">
        <v>64</v>
      </c>
      <c r="C9" s="4" t="s">
        <v>70</v>
      </c>
    </row>
    <row r="11" ht="19" customHeight="1" spans="1:3">
      <c r="C11" s="4"/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Q8"/>
  <sheetViews>
    <sheetView workbookViewId="0">
      <pane ySplit="1" topLeftCell="A2" activePane="bottomLeft" state="frozen"/>
      <selection/>
      <selection pane="bottomLeft" activeCell="A9" sqref="A9"/>
    </sheetView>
  </sheetViews>
  <sheetFormatPr defaultColWidth="9" defaultRowHeight="13.5" customHeight="1" outlineLevelRow="7"/>
  <cols>
    <col min="1" max="1" width="21.328125" style="1" customWidth="1"/>
    <col min="4" max="5" width="13.828125" style="4" customWidth="1"/>
    <col min="8" max="11" width="12.5" style="1" customWidth="1"/>
    <col min="16" max="16" width="13.828125"/>
    <col min="17" max="17" width="13.828125" style="5"/>
  </cols>
  <sheetData>
    <row r="1" s="4" customFormat="1" ht="27.75" customHeight="1" spans="1:17">
      <c r="A1" s="6" t="s">
        <v>71</v>
      </c>
      <c r="B1" s="6" t="s">
        <v>72</v>
      </c>
      <c r="C1" s="6" t="s">
        <v>73</v>
      </c>
      <c r="D1" s="6" t="s">
        <v>74</v>
      </c>
      <c r="E1" s="6" t="s">
        <v>75</v>
      </c>
      <c r="F1" s="6" t="s">
        <v>76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82</v>
      </c>
      <c r="M1" s="6" t="s">
        <v>83</v>
      </c>
      <c r="N1" s="6" t="s">
        <v>84</v>
      </c>
      <c r="O1" s="6" t="s">
        <v>85</v>
      </c>
      <c r="P1" s="6" t="s">
        <v>80</v>
      </c>
      <c r="Q1" s="6" t="s">
        <v>81</v>
      </c>
    </row>
    <row r="2" customHeight="1" spans="1:17">
      <c r="A2" s="7" t="s">
        <v>86</v>
      </c>
      <c r="B2" s="8">
        <v>12960913.76</v>
      </c>
      <c r="C2" s="8">
        <v>59780928.78</v>
      </c>
      <c r="D2" s="9">
        <v>4.61</v>
      </c>
      <c r="E2" s="9">
        <v>79.1</v>
      </c>
      <c r="F2" s="8">
        <v>14129745.66</v>
      </c>
      <c r="G2" s="8">
        <v>57251892.44</v>
      </c>
      <c r="H2" s="10">
        <v>4.05</v>
      </c>
      <c r="I2" s="10">
        <v>90.1</v>
      </c>
      <c r="J2" s="11">
        <v>0.09</v>
      </c>
      <c r="K2" s="10">
        <v>11</v>
      </c>
      <c r="L2" s="8">
        <v>16098978.5200001</v>
      </c>
      <c r="M2" s="8">
        <v>72676746.52</v>
      </c>
      <c r="N2" s="12">
        <v>4.51437005333675</v>
      </c>
      <c r="O2" s="12">
        <v>80.8529198288063</v>
      </c>
      <c r="P2" s="13">
        <f>(L2-F2)/F2</f>
        <v>0.139367891495373</v>
      </c>
      <c r="Q2" s="14">
        <f>O2-I2</f>
        <v>-9.2470801711937</v>
      </c>
    </row>
    <row r="3" customHeight="1" spans="1:17">
      <c r="A3" s="7" t="s">
        <v>87</v>
      </c>
      <c r="B3" s="15">
        <v>32900585.42</v>
      </c>
      <c r="C3" s="15">
        <v>134744245.49</v>
      </c>
      <c r="D3" s="9">
        <v>4.1</v>
      </c>
      <c r="E3" s="9">
        <v>89.1</v>
      </c>
      <c r="F3" s="15">
        <v>34198877.49</v>
      </c>
      <c r="G3" s="15">
        <v>131835427.48</v>
      </c>
      <c r="H3" s="10">
        <v>3.85</v>
      </c>
      <c r="I3" s="10">
        <v>94.7</v>
      </c>
      <c r="J3" s="11">
        <v>0.039</v>
      </c>
      <c r="K3" s="10">
        <v>5.6</v>
      </c>
      <c r="L3" s="8">
        <v>35864929.5309738</v>
      </c>
      <c r="M3" s="15">
        <v>137069373.96</v>
      </c>
      <c r="N3" s="12">
        <v>3.82182192332551</v>
      </c>
      <c r="O3" s="12">
        <v>95.5041881392528</v>
      </c>
      <c r="P3" s="13">
        <f t="shared" ref="P3:P8" si="0">(L3-F3)/F3</f>
        <v>0.0487165709301705</v>
      </c>
      <c r="Q3" s="14">
        <f t="shared" ref="Q3:Q8" si="1">O3-I3</f>
        <v>0.804188139252801</v>
      </c>
    </row>
    <row r="4" customHeight="1" spans="1:17">
      <c r="A4" s="7" t="s">
        <v>88</v>
      </c>
      <c r="B4" s="15">
        <v>1979750.45</v>
      </c>
      <c r="C4" s="15">
        <v>14321547.68</v>
      </c>
      <c r="D4" s="9">
        <v>7.23</v>
      </c>
      <c r="E4" s="9">
        <v>50.5</v>
      </c>
      <c r="F4" s="15">
        <v>1851979.97</v>
      </c>
      <c r="G4" s="15">
        <v>13356804.36</v>
      </c>
      <c r="H4" s="10">
        <v>7.21</v>
      </c>
      <c r="I4" s="10">
        <v>50.6</v>
      </c>
      <c r="J4" s="11">
        <v>-0.065</v>
      </c>
      <c r="K4" s="10">
        <v>0.1</v>
      </c>
      <c r="L4" s="8">
        <v>1851979.96999999</v>
      </c>
      <c r="M4" s="15">
        <v>12940895.152</v>
      </c>
      <c r="N4" s="12">
        <v>6.98759995336238</v>
      </c>
      <c r="O4" s="12">
        <v>52.2353887509494</v>
      </c>
      <c r="P4" s="13">
        <f t="shared" si="0"/>
        <v>-5.40595354123425e-15</v>
      </c>
      <c r="Q4" s="14">
        <f t="shared" si="1"/>
        <v>1.6353887509494</v>
      </c>
    </row>
    <row r="5" customHeight="1" spans="1:17">
      <c r="A5" s="7" t="s">
        <v>89</v>
      </c>
      <c r="B5" s="15">
        <v>3506939.44</v>
      </c>
      <c r="C5" s="15">
        <v>31251759.68</v>
      </c>
      <c r="D5" s="4">
        <v>8.91</v>
      </c>
      <c r="E5" s="9">
        <v>41</v>
      </c>
      <c r="F5" s="15">
        <v>3502534.97</v>
      </c>
      <c r="G5" s="15">
        <v>32057459.56</v>
      </c>
      <c r="H5" s="10">
        <v>9.15</v>
      </c>
      <c r="I5" s="10">
        <v>39.9</v>
      </c>
      <c r="J5" s="11">
        <v>-0.001</v>
      </c>
      <c r="K5" s="10">
        <v>-1.1</v>
      </c>
      <c r="L5" s="8">
        <v>3335920.32743364</v>
      </c>
      <c r="M5" s="15">
        <v>33775261.768</v>
      </c>
      <c r="N5" s="12">
        <v>10.1247207525438</v>
      </c>
      <c r="O5" s="12">
        <v>36.0503769852908</v>
      </c>
      <c r="P5" s="13">
        <f t="shared" si="0"/>
        <v>-0.047569729922314</v>
      </c>
      <c r="Q5" s="14">
        <f t="shared" si="1"/>
        <v>-3.8496230147092</v>
      </c>
    </row>
    <row r="6" customHeight="1" spans="1:17">
      <c r="A6" s="7" t="s">
        <v>90</v>
      </c>
      <c r="B6" s="15">
        <v>1367089.88</v>
      </c>
      <c r="C6" s="15">
        <v>14437535.33</v>
      </c>
      <c r="D6" s="4">
        <v>10.56</v>
      </c>
      <c r="E6" s="9">
        <v>34.6</v>
      </c>
      <c r="F6" s="15">
        <v>1345513.08</v>
      </c>
      <c r="G6" s="15">
        <v>12785473.64</v>
      </c>
      <c r="H6" s="10">
        <v>9.5</v>
      </c>
      <c r="I6" s="10">
        <v>38.4</v>
      </c>
      <c r="J6" s="11">
        <v>-0.016</v>
      </c>
      <c r="K6" s="10">
        <v>3.8</v>
      </c>
      <c r="L6" s="8">
        <v>1361927.36283185</v>
      </c>
      <c r="M6" s="15">
        <v>11901326.796</v>
      </c>
      <c r="N6" s="12">
        <v>8.73859144092209</v>
      </c>
      <c r="O6" s="12">
        <v>41.7687452797868</v>
      </c>
      <c r="P6" s="13">
        <f t="shared" si="0"/>
        <v>0.0121992740730919</v>
      </c>
      <c r="Q6" s="14">
        <f t="shared" si="1"/>
        <v>3.3687452797868</v>
      </c>
    </row>
    <row r="7" ht="14.25" customHeight="1" spans="1:17">
      <c r="A7" s="1" t="s">
        <v>91</v>
      </c>
      <c r="B7" s="15">
        <v>11818000</v>
      </c>
      <c r="C7" s="16">
        <v>0</v>
      </c>
      <c r="D7" s="17">
        <v>0</v>
      </c>
      <c r="E7" s="17">
        <v>0</v>
      </c>
      <c r="F7" s="15">
        <v>11747000</v>
      </c>
      <c r="G7" s="16">
        <v>0</v>
      </c>
      <c r="H7" s="17">
        <v>0</v>
      </c>
      <c r="I7" s="17">
        <v>0</v>
      </c>
      <c r="J7" s="17">
        <v>0</v>
      </c>
      <c r="K7" s="17">
        <v>0</v>
      </c>
      <c r="L7" s="8">
        <v>11691690.6194693</v>
      </c>
      <c r="M7" s="16">
        <v>0</v>
      </c>
      <c r="N7" s="12">
        <v>0</v>
      </c>
      <c r="O7" s="12">
        <v>0</v>
      </c>
      <c r="P7" s="13">
        <f t="shared" si="0"/>
        <v>-0.00470838346222015</v>
      </c>
      <c r="Q7" s="14">
        <f t="shared" si="1"/>
        <v>0</v>
      </c>
    </row>
    <row r="8" ht="14.25" customHeight="1" spans="1:17">
      <c r="A8" s="1" t="s">
        <v>92</v>
      </c>
      <c r="B8" s="15">
        <f>SUM(B3:B7)</f>
        <v>51572365.19</v>
      </c>
      <c r="C8" s="15">
        <f>SUM(C3:C7)</f>
        <v>194755088.18</v>
      </c>
      <c r="D8" s="17">
        <f>C8/B8</f>
        <v>3.77634586784016</v>
      </c>
      <c r="E8" s="17">
        <v>98.6</v>
      </c>
      <c r="F8" s="15">
        <f>SUM(F3:F7)</f>
        <v>52645905.51</v>
      </c>
      <c r="G8" s="15">
        <f>SUM(G3:G7)</f>
        <v>190035165.04</v>
      </c>
      <c r="H8" s="17">
        <f>G8/F8</f>
        <v>3.60968556242048</v>
      </c>
      <c r="I8" s="17">
        <v>103</v>
      </c>
      <c r="J8" s="17">
        <v>0.019</v>
      </c>
      <c r="K8" s="17">
        <v>4.4</v>
      </c>
      <c r="L8" s="8">
        <v>54106447.8107086</v>
      </c>
      <c r="M8" s="15">
        <v>195686857.676</v>
      </c>
      <c r="N8" s="12">
        <v>3.61670125454568</v>
      </c>
      <c r="O8" s="12">
        <v>100.920693834263</v>
      </c>
      <c r="P8" s="13">
        <f t="shared" si="0"/>
        <v>0.0277427520062538</v>
      </c>
      <c r="Q8" s="14">
        <f t="shared" si="1"/>
        <v>-2.07930616573699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2"/>
  <sheetViews>
    <sheetView tabSelected="1" workbookViewId="0">
      <selection activeCell="B14" sqref="B14"/>
    </sheetView>
  </sheetViews>
  <sheetFormatPr defaultColWidth="9" defaultRowHeight="13.5" customHeight="1" outlineLevelRow="1" outlineLevelCol="1"/>
  <cols>
    <col min="2" max="2" width="126.2734375" style="1" customWidth="1"/>
    <col min="3" max="3" width="19.1640625" style="1" customWidth="1"/>
    <col min="4" max="4" width="19.6640625" style="1" customWidth="1"/>
  </cols>
  <sheetData>
    <row r="1" customHeight="1" spans="1:2">
      <c r="A1" s="2" t="s">
        <v>0</v>
      </c>
      <c r="B1" s="1" t="s">
        <v>93</v>
      </c>
    </row>
    <row r="2" customFormat="1" ht="20" customHeight="1" spans="1:2">
      <c r="A2" s="50" t="s">
        <v>16</v>
      </c>
      <c r="B2" t="s">
        <v>94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订单数据</vt:lpstr>
      <vt:lpstr>采购数据统计</vt:lpstr>
      <vt:lpstr>Key-SKU断货统计</vt:lpstr>
      <vt:lpstr>议价数据统计</vt:lpstr>
      <vt:lpstr>仓储单位产出</vt:lpstr>
      <vt:lpstr>效率提升</vt:lpstr>
      <vt:lpstr>库存周转分析</vt:lpstr>
      <vt:lpstr>总结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蔡</cp:lastModifiedBy>
  <dcterms:created xsi:type="dcterms:W3CDTF">2006-09-16T00:00:00Z</dcterms:created>
  <dcterms:modified xsi:type="dcterms:W3CDTF">2026-09-11T11:17:41Z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8C385C61797D4F0D95996685E745C8FF_12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