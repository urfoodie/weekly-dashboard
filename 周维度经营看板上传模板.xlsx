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JunJun\Desktop\"/>
    </mc:Choice>
  </mc:AlternateContent>
  <bookViews>
    <workbookView windowWidth="21000" windowHeight="14005" firstSheet="1" activeTab="7"/>
  </bookViews>
  <sheets>
    <sheet name="订单数据" sheetId="1" r:id="rId1"/>
    <sheet name="采购数据统计" sheetId="2" r:id="rId2"/>
    <sheet name="Key-SKU断货统计" sheetId="3" r:id="rId3"/>
    <sheet name="议价数据统计" sheetId="4" r:id="rId4"/>
    <sheet name="仓储单位产出" sheetId="5" r:id="rId5"/>
    <sheet name="效率提升" sheetId="6" r:id="rId6"/>
    <sheet name="库存周转分析" sheetId="7" r:id="rId7"/>
    <sheet name="总结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Unknown User</author>
  </authors>
  <commentList>
    <comment ref="C4" authorId="0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上周备货较多，本周趋于稳定，上周涨幅主要以常规为主</t>
        </r>
        <r>
          <rPr>
            <sz val="10"/>
            <rFont val="宋体"/>
            <charset val="134"/>
          </rPr>
          <t xml:space="preserve">
  - 蔡伟凤</t>
        </r>
      </text>
    </comment>
  </commentList>
</comments>
</file>

<file path=xl/sharedStrings.xml><?xml version="1.0" encoding="utf-8"?>
<sst xmlns="http://schemas.openxmlformats.org/spreadsheetml/2006/main" count="96" uniqueCount="79">
  <si>
    <t>周次</t>
  </si>
  <si>
    <t>新下单订单条数</t>
  </si>
  <si>
    <t>新下单订单金额</t>
  </si>
  <si>
    <t>待审核总订单条数</t>
  </si>
  <si>
    <t>待审核总订单金额</t>
  </si>
  <si>
    <t>25年及以前待审核订单条数</t>
  </si>
  <si>
    <t>25年及以前待审核订单金额</t>
  </si>
  <si>
    <t>26年1-6月待审核订单条数</t>
  </si>
  <si>
    <t>26年1-6月待审核订单金额</t>
  </si>
  <si>
    <t>环比</t>
  </si>
  <si>
    <t>07-30</t>
  </si>
  <si>
    <t>08-06</t>
  </si>
  <si>
    <t>采购合同个数</t>
  </si>
  <si>
    <t>采购单个数</t>
  </si>
  <si>
    <t>销售采购单个数</t>
  </si>
  <si>
    <t>直发采购单个数</t>
  </si>
  <si>
    <t>直发采购单比例</t>
  </si>
  <si>
    <t>采购金额（元）</t>
  </si>
  <si>
    <t>人数</t>
  </si>
  <si>
    <t>人均采购金额（元）</t>
  </si>
  <si>
    <t>人均采购单（个）</t>
  </si>
  <si>
    <t>金额周环比</t>
  </si>
  <si>
    <t>07-23</t>
  </si>
  <si>
    <t>08-07</t>
  </si>
  <si>
    <t>货号个数</t>
  </si>
  <si>
    <t>断货个数</t>
  </si>
  <si>
    <t>断货率</t>
  </si>
  <si>
    <t>备注说明</t>
  </si>
  <si>
    <t/>
  </si>
  <si>
    <t>阈值调整</t>
  </si>
  <si>
    <t>单笔议价金额（元）</t>
  </si>
  <si>
    <t>备货议价金额（元）</t>
  </si>
  <si>
    <t>议价合计（元）</t>
  </si>
  <si>
    <t>月份</t>
  </si>
  <si>
    <t>主仓面积</t>
  </si>
  <si>
    <t>廊坊仓面积</t>
  </si>
  <si>
    <t>成都仓面积</t>
  </si>
  <si>
    <t>广州仓面积</t>
  </si>
  <si>
    <t>主仓每平米销售额</t>
  </si>
  <si>
    <t>廊坊每平米销售额</t>
  </si>
  <si>
    <t>成都每平米销售额</t>
  </si>
  <si>
    <t>广州仓每平米销售额</t>
  </si>
  <si>
    <t>主仓每平米毛利</t>
  </si>
  <si>
    <t>廊坊每平米毛利</t>
  </si>
  <si>
    <t>成都每平米毛利</t>
  </si>
  <si>
    <t>广州仓每平米毛利</t>
  </si>
  <si>
    <t>主仓租金</t>
  </si>
  <si>
    <t>廊坊仓租金</t>
  </si>
  <si>
    <t>成都仓租金</t>
  </si>
  <si>
    <t>广州仓租金</t>
  </si>
  <si>
    <t>2026-06</t>
  </si>
  <si>
    <t>2026-07</t>
  </si>
  <si>
    <t>模块</t>
  </si>
  <si>
    <t>本周进展</t>
  </si>
  <si>
    <t>AI</t>
  </si>
  <si>
    <t>知识库：产品资料投喂；发票命名自动化</t>
  </si>
  <si>
    <t>流程优化</t>
  </si>
  <si>
    <t>年度协议管理打通；标签自动流转模块沟通</t>
  </si>
  <si>
    <t>知识库:
①文件 URL 规范化,修复中文文件名和空格导致链接打不开的问题口径。
②知识库龙虾待IT开通商品详情页端口后再开放给销售。
报价:
①耗材搜索排序 V1回归中：框架集成完成，12 个基础自动化测试通过，进入真实业务 Case 回归. 
②AI任务分流内测试运行：子代理分流可执行，日报改为人工触发验证口径
端口进展
自动关联：采购单中心、销售成品采购任务两个8月底完成
9月开展：自动生产转换——联动库存+占用+阈值+大小包装：
时间待定：自动收票——待收票（成品）</t>
  </si>
  <si>
    <t>仓库/品类</t>
  </si>
  <si>
    <t>6月库存金额</t>
  </si>
  <si>
    <t>6月年营业成本</t>
  </si>
  <si>
    <t>6月周转次数</t>
  </si>
  <si>
    <t>6月平均周转天数</t>
  </si>
  <si>
    <t>7月库存金额</t>
  </si>
  <si>
    <t>7月年营业成本</t>
  </si>
  <si>
    <t>7月周转次数</t>
  </si>
  <si>
    <t>7月平均周转天数</t>
  </si>
  <si>
    <t>库存金额环比变化</t>
  </si>
  <si>
    <t>周转天数变化(天）</t>
  </si>
  <si>
    <t>主仓有阈值的明星产品</t>
  </si>
  <si>
    <t>主仓所有商品</t>
  </si>
  <si>
    <t>成都所有商品</t>
  </si>
  <si>
    <t>廊坊所有商品</t>
  </si>
  <si>
    <t>广州所有商品</t>
  </si>
  <si>
    <t>宜昌所有商品</t>
  </si>
  <si>
    <t>全部在售库库存合计</t>
  </si>
  <si>
    <t>本周小结</t>
  </si>
  <si>
    <t>KEY-SKY断货率进一步降低到2%，新下单金额上涨81%，7月廊坊仓面积从1300平降低到1100平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</si>
</sst>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%"/>
  </numFmts>
  <fonts count="27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b/>
      <sz val="11"/>
      <color rgb="FF284D79"/>
      <name val="宋体"/>
      <charset val="134"/>
    </font>
    <font>
      <b/>
      <sz val="10"/>
      <color rgb="FF000000"/>
      <name val="等线"/>
      <charset val="134"/>
    </font>
    <font>
      <sz val="11"/>
      <color theme="1"/>
      <name val="等线"/>
      <charset val="134"/>
      <scheme val="minor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1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E5B9B7"/>
        <bgColor indexed="64"/>
      </patternFill>
    </fill>
    <fill>
      <patternFill patternType="solid">
        <fgColor rgb="FFEAF3FC"/>
        <bgColor indexed="64"/>
      </patternFill>
    </fill>
    <fill>
      <patternFill patternType="solid">
        <fgColor rgb="FFB2A2C7"/>
        <bgColor indexed="64"/>
      </patternFill>
    </fill>
    <fill>
      <patternFill patternType="solid">
        <fgColor rgb="FFCCC1D9"/>
        <bgColor indexed="64"/>
      </patternFill>
    </fill>
    <fill>
      <patternFill patternType="solid">
        <fgColor rgb="FFC3D69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6F2"/>
      </left>
      <right style="thin">
        <color rgb="FFD9E6F2"/>
      </right>
      <top style="thin">
        <color rgb="FFD9E6F2"/>
      </top>
      <bottom style="thin">
        <color rgb="FFD9E6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7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Alignment="1"/>
    <xf numFmtId="49" fontId="1" fillId="2" borderId="1" xfId="0" applyNumberFormat="1" applyFont="1" applyFill="1" applyBorder="1" applyAlignment="1" applyProtection="1"/>
    <xf numFmtId="0" fontId="1" fillId="0" borderId="0" xfId="0" applyFont="1" applyAlignment="1">
      <alignment wrapText="1"/>
    </xf>
    <xf numFmtId="0" fontId="2" fillId="3" borderId="1" xfId="0" applyFont="1" applyFill="1" applyBorder="1" applyAlignment="1" applyProtection="1">
      <alignment horizontal="center" wrapText="1"/>
    </xf>
    <xf numFmtId="0" fontId="1" fillId="0" borderId="1" xfId="0" applyFont="1" applyBorder="1" applyAlignment="1" applyProtection="1"/>
    <xf numFmtId="4" fontId="1" fillId="0" borderId="1" xfId="0" applyNumberFormat="1" applyFont="1" applyBorder="1" applyAlignment="1" applyProtection="1">
      <alignment wrapText="1"/>
    </xf>
    <xf numFmtId="4" fontId="1" fillId="0" borderId="1" xfId="0" applyNumberFormat="1" applyFont="1" applyBorder="1" applyAlignment="1" applyProtection="1"/>
    <xf numFmtId="10" fontId="1" fillId="0" borderId="0" xfId="0" applyNumberFormat="1" applyFont="1" applyAlignment="1"/>
    <xf numFmtId="4" fontId="1" fillId="0" borderId="0" xfId="0" applyNumberFormat="1" applyFont="1" applyAlignment="1">
      <alignment wrapText="1"/>
    </xf>
    <xf numFmtId="4" fontId="1" fillId="0" borderId="0" xfId="0" applyNumberFormat="1" applyFont="1" applyAlignment="1"/>
    <xf numFmtId="176" fontId="1" fillId="0" borderId="0" xfId="0" applyNumberFormat="1" applyFont="1" applyAlignment="1">
      <alignment wrapText="1"/>
    </xf>
    <xf numFmtId="0" fontId="2" fillId="3" borderId="1" xfId="0" applyFont="1" applyFill="1" applyBorder="1" applyAlignment="1" applyProtection="1">
      <alignment horizontal="center"/>
    </xf>
    <xf numFmtId="49" fontId="1" fillId="0" borderId="1" xfId="0" applyNumberFormat="1" applyFont="1" applyBorder="1" applyAlignment="1" applyProtection="1"/>
    <xf numFmtId="0" fontId="1" fillId="0" borderId="1" xfId="0" applyFont="1" applyBorder="1" applyAlignment="1" applyProtection="1">
      <alignment wrapText="1"/>
    </xf>
    <xf numFmtId="0" fontId="3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" fontId="1" fillId="0" borderId="1" xfId="0" applyNumberFormat="1" applyFont="1" applyBorder="1" applyAlignment="1" applyProtection="1"/>
    <xf numFmtId="0" fontId="1" fillId="0" borderId="0" xfId="0" applyFont="1">
      <alignment vertical="center"/>
    </xf>
    <xf numFmtId="0" fontId="1" fillId="4" borderId="0" xfId="0" applyFont="1" applyFill="1">
      <alignment vertical="center"/>
    </xf>
    <xf numFmtId="0" fontId="1" fillId="2" borderId="0" xfId="0" applyFont="1" applyFill="1">
      <alignment vertical="center"/>
    </xf>
    <xf numFmtId="0" fontId="1" fillId="4" borderId="0" xfId="0" applyFont="1" applyFill="1" applyAlignment="1"/>
    <xf numFmtId="0" fontId="1" fillId="2" borderId="0" xfId="0" applyFont="1" applyFill="1" applyAlignment="1"/>
    <xf numFmtId="177" fontId="1" fillId="0" borderId="1" xfId="0" applyNumberFormat="1" applyFont="1" applyBorder="1" applyAlignment="1" applyProtection="1"/>
    <xf numFmtId="0" fontId="1" fillId="0" borderId="0" xfId="0" applyFont="1" applyAlignment="1">
      <alignment horizontal="center" vertical="center"/>
    </xf>
    <xf numFmtId="0" fontId="2" fillId="5" borderId="1" xfId="0" applyFont="1" applyFill="1" applyBorder="1" applyAlignment="1" applyProtection="1">
      <alignment horizontal="center" vertical="center"/>
    </xf>
    <xf numFmtId="0" fontId="2" fillId="6" borderId="1" xfId="0" applyFont="1" applyFill="1" applyBorder="1" applyAlignment="1" applyProtection="1">
      <alignment horizontal="center" vertical="center"/>
    </xf>
    <xf numFmtId="0" fontId="2" fillId="3" borderId="1" xfId="0" applyFont="1" applyFill="1" applyBorder="1" applyAlignment="1" applyProtection="1">
      <alignment horizontal="center" vertical="center"/>
    </xf>
    <xf numFmtId="0" fontId="1" fillId="5" borderId="1" xfId="0" applyFont="1" applyFill="1" applyBorder="1" applyAlignment="1" applyProtection="1">
      <alignment horizontal="center" vertical="center"/>
    </xf>
    <xf numFmtId="0" fontId="1" fillId="6" borderId="1" xfId="0" applyFont="1" applyFill="1" applyBorder="1" applyAlignment="1" applyProtection="1">
      <alignment horizontal="center" vertical="center"/>
    </xf>
    <xf numFmtId="177" fontId="1" fillId="6" borderId="1" xfId="0" applyNumberFormat="1" applyFont="1" applyFill="1" applyBorder="1" applyAlignment="1" applyProtection="1">
      <alignment horizontal="center" vertical="center"/>
    </xf>
    <xf numFmtId="0" fontId="1" fillId="0" borderId="1" xfId="0" applyFont="1" applyBorder="1" applyAlignment="1" applyProtection="1">
      <alignment horizontal="center" vertical="center"/>
    </xf>
    <xf numFmtId="0" fontId="2" fillId="2" borderId="1" xfId="0" applyFont="1" applyFill="1" applyBorder="1" applyAlignment="1" applyProtection="1">
      <alignment horizontal="center"/>
    </xf>
    <xf numFmtId="0" fontId="2" fillId="2" borderId="1" xfId="0" applyFont="1" applyFill="1" applyBorder="1" applyAlignment="1" applyProtection="1">
      <alignment horizontal="center" wrapText="1"/>
    </xf>
    <xf numFmtId="0" fontId="1" fillId="2" borderId="1" xfId="0" applyFont="1" applyFill="1" applyBorder="1" applyAlignment="1" applyProtection="1">
      <alignment wrapText="1"/>
    </xf>
    <xf numFmtId="9" fontId="1" fillId="0" borderId="0" xfId="0" applyNumberFormat="1" applyFont="1" applyAlignment="1"/>
    <xf numFmtId="49" fontId="1" fillId="0" borderId="1" xfId="0" applyNumberFormat="1" applyFont="1" applyBorder="1" applyAlignment="1" applyProtection="1" quotePrefix="1"/>
    <xf numFmtId="0" fontId="1" fillId="0" borderId="0" xfId="0" applyFont="1" applyAlignment="1" quotePrefix="1"/>
    <xf numFmtId="17" fontId="1" fillId="0" borderId="1" xfId="0" applyNumberFormat="1" applyFont="1" applyBorder="1" applyAlignment="1" applyProtection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J3"/>
  <sheetViews>
    <sheetView workbookViewId="0">
      <selection activeCell="A3" sqref="A3"/>
    </sheetView>
  </sheetViews>
  <sheetFormatPr defaultColWidth="9" defaultRowHeight="13.5" customHeight="1" outlineLevelRow="2"/>
  <cols>
    <col min="6" max="6" width="14.6666666666667" style="1" customWidth="1"/>
    <col min="7" max="7" width="16.3333333333333" style="1" customWidth="1"/>
    <col min="8" max="8" width="15.1627906976744" style="1" customWidth="1"/>
    <col min="9" max="9" width="16.3333333333333" style="1" customWidth="1"/>
    <col min="10" max="10" width="12.8294573643411" style="1"/>
  </cols>
  <sheetData>
    <row r="1" ht="40.5" customHeight="1" spans="1:10">
      <c r="A1" s="33" t="s">
        <v>0</v>
      </c>
      <c r="B1" s="4" t="s">
        <v>1</v>
      </c>
      <c r="C1" s="34" t="s">
        <v>2</v>
      </c>
      <c r="D1" s="4" t="s">
        <v>3</v>
      </c>
      <c r="E1" s="3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1" t="s">
        <v>9</v>
      </c>
    </row>
    <row r="2" customHeight="1" spans="1:10">
      <c r="A2" s="2" t="s">
        <v>10</v>
      </c>
      <c r="B2" s="14">
        <v>5191</v>
      </c>
      <c r="C2" s="35">
        <v>6571276.82</v>
      </c>
      <c r="D2" s="1">
        <v>1946</v>
      </c>
      <c r="E2" s="23">
        <v>10539098.29</v>
      </c>
      <c r="F2" s="1">
        <v>102</v>
      </c>
      <c r="G2" s="1">
        <v>459589.47</v>
      </c>
      <c r="H2" s="1">
        <v>431</v>
      </c>
      <c r="I2" s="1">
        <v>4389773.64</v>
      </c>
    </row>
    <row r="3" customHeight="1" spans="1:10">
      <c r="A3" s="2" t="s">
        <v>11</v>
      </c>
      <c r="B3" s="1">
        <v>4684</v>
      </c>
      <c r="C3" s="23">
        <v>11875244.04</v>
      </c>
      <c r="D3" s="1">
        <v>1981</v>
      </c>
      <c r="E3" s="23">
        <v>15540809.43</v>
      </c>
      <c r="F3" s="1">
        <v>98</v>
      </c>
      <c r="G3" s="1">
        <v>455024.27</v>
      </c>
      <c r="H3" s="1">
        <v>356</v>
      </c>
      <c r="I3" s="1">
        <v>3925227.65</v>
      </c>
      <c r="J3" s="36">
        <f>(C3-C2)/C2</f>
        <v>0.807144085584268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4"/>
  <sheetViews>
    <sheetView workbookViewId="0">
      <pane ySplit="1" topLeftCell="A2" activePane="bottomLeft" state="frozen"/>
      <selection/>
      <selection pane="bottomLeft" activeCell="A4" sqref="A4"/>
    </sheetView>
  </sheetViews>
  <sheetFormatPr defaultColWidth="9" defaultRowHeight="13.5" customHeight="1" outlineLevelRow="3"/>
  <cols>
    <col min="1" max="1" width="6.82945736434108" style="1" customWidth="1"/>
    <col min="2" max="6" width="18" style="25" customWidth="1"/>
    <col min="7" max="7" width="18" style="1" customWidth="1"/>
    <col min="8" max="8" width="9.16279069767442" style="25" customWidth="1"/>
    <col min="9" max="9" width="19" style="1" customWidth="1"/>
    <col min="10" max="11" width="18" style="1" customWidth="1"/>
  </cols>
  <sheetData>
    <row r="1" customHeight="1" spans="1:11">
      <c r="A1" s="12" t="s">
        <v>0</v>
      </c>
      <c r="B1" s="26" t="s">
        <v>12</v>
      </c>
      <c r="C1" s="26" t="s">
        <v>13</v>
      </c>
      <c r="D1" s="27" t="s">
        <v>14</v>
      </c>
      <c r="E1" s="27" t="s">
        <v>15</v>
      </c>
      <c r="F1" s="27" t="s">
        <v>16</v>
      </c>
      <c r="G1" s="12" t="s">
        <v>17</v>
      </c>
      <c r="H1" s="28" t="s">
        <v>18</v>
      </c>
      <c r="I1" s="12" t="s">
        <v>19</v>
      </c>
      <c r="J1" s="12" t="s">
        <v>20</v>
      </c>
      <c r="K1" s="12" t="s">
        <v>21</v>
      </c>
    </row>
    <row r="2" customHeight="1" spans="1:11">
      <c r="A2" s="13" t="s">
        <v>22</v>
      </c>
      <c r="B2" s="29">
        <v>1039</v>
      </c>
      <c r="C2" s="29">
        <v>2486</v>
      </c>
      <c r="D2" s="30">
        <v>1169</v>
      </c>
      <c r="E2" s="30">
        <v>521</v>
      </c>
      <c r="F2" s="31">
        <v>0.446</v>
      </c>
      <c r="G2" s="7">
        <v>4141198.82</v>
      </c>
      <c r="H2" s="32">
        <v>15</v>
      </c>
      <c r="I2" s="7">
        <v>276079.92</v>
      </c>
      <c r="J2" s="7">
        <v>165.7</v>
      </c>
      <c r="K2" s="24"/>
    </row>
    <row r="3" customHeight="1" spans="1:11">
      <c r="A3" s="13" t="s">
        <v>10</v>
      </c>
      <c r="B3" s="29">
        <v>1169</v>
      </c>
      <c r="C3" s="29">
        <v>3698</v>
      </c>
      <c r="D3" s="30">
        <v>1138</v>
      </c>
      <c r="E3" s="30">
        <v>515</v>
      </c>
      <c r="F3" s="31">
        <v>0.453</v>
      </c>
      <c r="G3" s="7">
        <v>5760008.07</v>
      </c>
      <c r="H3" s="32">
        <v>15</v>
      </c>
      <c r="I3" s="7">
        <v>384000.54</v>
      </c>
      <c r="J3" s="7">
        <v>246.5</v>
      </c>
      <c r="K3" s="24">
        <v>0.391</v>
      </c>
    </row>
    <row r="4" customHeight="1" spans="1:11">
      <c r="A4" s="37" t="s">
        <v>23</v>
      </c>
      <c r="B4" s="29">
        <v>845</v>
      </c>
      <c r="C4" s="29">
        <v>2042</v>
      </c>
      <c r="D4" s="30">
        <v>893</v>
      </c>
      <c r="E4" s="30">
        <v>448</v>
      </c>
      <c r="F4" s="31">
        <f>E4/D4</f>
        <v>0.501679731243001</v>
      </c>
      <c r="G4" s="7">
        <v>4556368.56</v>
      </c>
      <c r="H4" s="32">
        <v>15</v>
      </c>
      <c r="I4" s="7">
        <f>G4/H4</f>
        <v>303757.904</v>
      </c>
      <c r="J4" s="7">
        <f>C4/H4</f>
        <v>136.133333333333</v>
      </c>
      <c r="K4" s="24">
        <f>(G4-G3)/G3</f>
        <v>-0.208964899939802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E4"/>
  <sheetViews>
    <sheetView workbookViewId="0">
      <pane ySplit="1" topLeftCell="A2" activePane="bottomLeft" state="frozen"/>
      <selection/>
      <selection pane="bottomLeft" activeCell="A4" sqref="A4"/>
    </sheetView>
  </sheetViews>
  <sheetFormatPr defaultColWidth="9" defaultRowHeight="13.5" customHeight="1" outlineLevelRow="3" outlineLevelCol="4"/>
  <cols>
    <col min="1" max="5" width="18" style="1" customWidth="1"/>
  </cols>
  <sheetData>
    <row r="1" customHeight="1" spans="1:5">
      <c r="A1" s="12" t="s">
        <v>0</v>
      </c>
      <c r="B1" s="12" t="s">
        <v>24</v>
      </c>
      <c r="C1" s="12" t="s">
        <v>25</v>
      </c>
      <c r="D1" s="12" t="s">
        <v>26</v>
      </c>
      <c r="E1" s="12" t="s">
        <v>27</v>
      </c>
    </row>
    <row r="2" customHeight="1" spans="1:5">
      <c r="A2" s="13" t="s">
        <v>22</v>
      </c>
      <c r="B2" s="5">
        <v>2264</v>
      </c>
      <c r="C2" s="5">
        <v>48</v>
      </c>
      <c r="D2" s="24">
        <v>0.0212</v>
      </c>
      <c r="E2" s="5" t="s">
        <v>28</v>
      </c>
    </row>
    <row r="3" customHeight="1" spans="1:5">
      <c r="A3" s="13" t="s">
        <v>10</v>
      </c>
      <c r="B3" s="5">
        <v>2248</v>
      </c>
      <c r="C3" s="5">
        <v>69</v>
      </c>
      <c r="D3" s="24">
        <v>0.0307</v>
      </c>
      <c r="E3" s="5" t="s">
        <v>29</v>
      </c>
    </row>
    <row r="4" customHeight="1" spans="1:5">
      <c r="A4" s="38" t="s">
        <v>23</v>
      </c>
      <c r="B4" s="5">
        <v>2248</v>
      </c>
      <c r="C4" s="1">
        <v>46</v>
      </c>
      <c r="D4" s="24">
        <f>C4/B4</f>
        <v>0.0204626334519573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D4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customHeight="1" outlineLevelRow="3" outlineLevelCol="3"/>
  <cols>
    <col min="1" max="4" width="18" style="1" customWidth="1"/>
  </cols>
  <sheetData>
    <row r="1" customHeight="1" spans="1:4">
      <c r="A1" s="12" t="s">
        <v>0</v>
      </c>
      <c r="B1" s="12" t="s">
        <v>30</v>
      </c>
      <c r="C1" s="12" t="s">
        <v>31</v>
      </c>
      <c r="D1" s="12" t="s">
        <v>32</v>
      </c>
    </row>
    <row r="2" customHeight="1" spans="1:4">
      <c r="A2" s="13" t="s">
        <v>22</v>
      </c>
      <c r="B2" s="7">
        <v>4971.97</v>
      </c>
      <c r="C2" s="7">
        <v>56502.88</v>
      </c>
      <c r="D2" s="7">
        <v>61474.85</v>
      </c>
    </row>
    <row r="3" customHeight="1" spans="1:4">
      <c r="A3" s="13" t="s">
        <v>10</v>
      </c>
      <c r="B3" s="7">
        <v>5210.54</v>
      </c>
      <c r="C3" s="7">
        <v>25998.03</v>
      </c>
      <c r="D3" s="7">
        <v>31208.57</v>
      </c>
    </row>
    <row r="4" customHeight="1" spans="1:4">
      <c r="A4" s="38" t="s">
        <v>23</v>
      </c>
      <c r="B4" s="7">
        <v>17901.513</v>
      </c>
      <c r="C4" s="7">
        <v>5144.33</v>
      </c>
      <c r="D4" s="7">
        <f>B4+C4</f>
        <v>23045.843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3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customHeight="1" outlineLevelRow="2"/>
  <cols>
    <col min="1" max="1" width="18" style="1" customWidth="1"/>
    <col min="2" max="5" width="14.1627906976744" style="1" customWidth="1"/>
    <col min="6" max="6" width="19.3333333333333" style="1" customWidth="1"/>
    <col min="7" max="9" width="14.1627906976744" style="1" customWidth="1"/>
    <col min="10" max="13" width="12.8294573643411" style="1"/>
  </cols>
  <sheetData>
    <row r="1" s="3" customFormat="1" customHeight="1" spans="1:17">
      <c r="A1" s="4" t="s">
        <v>33</v>
      </c>
      <c r="B1" s="15" t="s">
        <v>34</v>
      </c>
      <c r="C1" s="15" t="s">
        <v>35</v>
      </c>
      <c r="D1" s="15" t="s">
        <v>36</v>
      </c>
      <c r="E1" s="15" t="s">
        <v>37</v>
      </c>
      <c r="F1" s="16" t="s">
        <v>38</v>
      </c>
      <c r="G1" s="16" t="s">
        <v>39</v>
      </c>
      <c r="H1" s="16" t="s">
        <v>40</v>
      </c>
      <c r="I1" s="16" t="s">
        <v>41</v>
      </c>
      <c r="J1" s="17" t="s">
        <v>42</v>
      </c>
      <c r="K1" s="17" t="s">
        <v>43</v>
      </c>
      <c r="L1" s="17" t="s">
        <v>44</v>
      </c>
      <c r="M1" s="17" t="s">
        <v>45</v>
      </c>
      <c r="N1" s="15" t="s">
        <v>46</v>
      </c>
      <c r="O1" s="15" t="s">
        <v>47</v>
      </c>
      <c r="P1" s="15" t="s">
        <v>48</v>
      </c>
      <c r="Q1" s="15" t="s">
        <v>49</v>
      </c>
    </row>
    <row r="2" customHeight="1" spans="1:17">
      <c r="A2" s="18" t="s">
        <v>50</v>
      </c>
      <c r="B2" s="19">
        <v>8446</v>
      </c>
      <c r="C2" s="19">
        <v>1301</v>
      </c>
      <c r="D2" s="19">
        <v>1040</v>
      </c>
      <c r="E2" s="19">
        <v>1202</v>
      </c>
      <c r="F2" s="20">
        <v>1814.43594600995</v>
      </c>
      <c r="G2" s="20">
        <v>1091.67947732513</v>
      </c>
      <c r="H2" s="20">
        <v>558.466346153846</v>
      </c>
      <c r="I2" s="20">
        <v>519.371048252912</v>
      </c>
      <c r="J2" s="21">
        <v>543.79694529955</v>
      </c>
      <c r="K2" s="21">
        <v>289.948501152959</v>
      </c>
      <c r="L2" s="21">
        <v>197.801923076923</v>
      </c>
      <c r="M2" s="21">
        <v>184.280366056572</v>
      </c>
      <c r="N2" s="19">
        <v>225323</v>
      </c>
      <c r="O2" s="19">
        <v>33193</v>
      </c>
      <c r="P2" s="19">
        <v>24736</v>
      </c>
      <c r="Q2" s="19">
        <v>22844</v>
      </c>
    </row>
    <row r="3" customHeight="1" spans="1:17">
      <c r="A3" s="39" t="s">
        <v>51</v>
      </c>
      <c r="B3" s="19">
        <v>8446</v>
      </c>
      <c r="C3" s="19">
        <v>1100</v>
      </c>
      <c r="D3" s="19">
        <v>1040</v>
      </c>
      <c r="E3" s="19">
        <v>1202</v>
      </c>
      <c r="F3" s="22">
        <f>18279769/B3</f>
        <v>2164.31079801089</v>
      </c>
      <c r="G3" s="22">
        <f>2542454/C3</f>
        <v>2311.32181818182</v>
      </c>
      <c r="H3" s="22">
        <f>727465/D3</f>
        <v>699.485576923077</v>
      </c>
      <c r="I3" s="22">
        <f>955153/E3</f>
        <v>794.636439267887</v>
      </c>
      <c r="J3" s="23">
        <f>5257975/B3</f>
        <v>622.540255742363</v>
      </c>
      <c r="K3" s="23">
        <f>629021/C3</f>
        <v>571.837272727273</v>
      </c>
      <c r="L3" s="23">
        <f>251054/D3</f>
        <v>241.398076923077</v>
      </c>
      <c r="M3" s="23">
        <f>275215/E3</f>
        <v>228.964226289517</v>
      </c>
      <c r="N3" s="19">
        <v>225323</v>
      </c>
      <c r="O3" s="19">
        <v>33193</v>
      </c>
      <c r="P3" s="19">
        <v>24736</v>
      </c>
      <c r="Q3" s="19">
        <v>22844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customHeight="1" outlineLevelRow="3" outlineLevelCol="2"/>
  <cols>
    <col min="1" max="1" width="12" style="1" customWidth="1"/>
    <col min="2" max="2" width="12.8294573643411" style="1" customWidth="1"/>
    <col min="3" max="3" width="39.6666666666667" style="1" customWidth="1"/>
  </cols>
  <sheetData>
    <row r="1" customHeight="1" spans="1:3">
      <c r="A1" s="12" t="s">
        <v>0</v>
      </c>
      <c r="B1" s="12" t="s">
        <v>52</v>
      </c>
      <c r="C1" s="12" t="s">
        <v>53</v>
      </c>
    </row>
    <row r="2" customHeight="1" spans="1:3">
      <c r="A2" s="13" t="s">
        <v>22</v>
      </c>
      <c r="B2" s="5" t="s">
        <v>54</v>
      </c>
      <c r="C2" s="14" t="s">
        <v>55</v>
      </c>
    </row>
    <row r="3" customHeight="1" spans="1:3">
      <c r="A3" s="13" t="s">
        <v>10</v>
      </c>
      <c r="B3" s="5" t="s">
        <v>56</v>
      </c>
      <c r="C3" s="14" t="s">
        <v>57</v>
      </c>
    </row>
    <row r="4" ht="229.5" customHeight="1" spans="1:3">
      <c r="A4" s="13" t="s">
        <v>11</v>
      </c>
      <c r="B4" s="5" t="s">
        <v>54</v>
      </c>
      <c r="C4" s="3" t="s">
        <v>58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9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customHeight="1"/>
  <cols>
    <col min="1" max="1" width="21.3333333333333" style="1" customWidth="1"/>
    <col min="2" max="2" width="13.8294573643411" style="3" customWidth="1"/>
    <col min="3" max="3" width="15.6666666666667" style="3" customWidth="1"/>
    <col min="4" max="6" width="13.8294573643411" style="3" customWidth="1"/>
    <col min="7" max="7" width="17.1627906976744" style="1" customWidth="1"/>
    <col min="8" max="11" width="12.4961240310078" style="1" customWidth="1"/>
  </cols>
  <sheetData>
    <row r="1" s="3" customFormat="1" ht="27" customHeight="1" spans="1:11">
      <c r="A1" s="4" t="s">
        <v>59</v>
      </c>
      <c r="B1" s="4" t="s">
        <v>60</v>
      </c>
      <c r="C1" s="4" t="s">
        <v>61</v>
      </c>
      <c r="D1" s="4" t="s">
        <v>62</v>
      </c>
      <c r="E1" s="4" t="s">
        <v>63</v>
      </c>
      <c r="F1" s="4" t="s">
        <v>64</v>
      </c>
      <c r="G1" s="4" t="s">
        <v>65</v>
      </c>
      <c r="H1" s="4" t="s">
        <v>66</v>
      </c>
      <c r="I1" s="4" t="s">
        <v>67</v>
      </c>
      <c r="J1" s="4" t="s">
        <v>68</v>
      </c>
      <c r="K1" s="4" t="s">
        <v>69</v>
      </c>
    </row>
    <row r="2" customHeight="1" spans="1:11">
      <c r="A2" s="5" t="s">
        <v>70</v>
      </c>
      <c r="B2" s="6">
        <v>12960913.76</v>
      </c>
      <c r="C2" s="6">
        <v>59780928.78</v>
      </c>
      <c r="D2" s="6">
        <v>4.61</v>
      </c>
      <c r="E2" s="6">
        <v>79.1</v>
      </c>
      <c r="F2" s="6">
        <v>14129745.66</v>
      </c>
      <c r="G2" s="7">
        <v>57251892.44</v>
      </c>
      <c r="H2" s="7">
        <v>4.05</v>
      </c>
      <c r="I2" s="7">
        <v>90.1</v>
      </c>
      <c r="J2" s="8">
        <v>0.09</v>
      </c>
      <c r="K2" s="7">
        <v>11</v>
      </c>
    </row>
    <row r="3" customHeight="1" spans="1:11">
      <c r="A3" s="5" t="s">
        <v>71</v>
      </c>
      <c r="B3" s="6">
        <v>32900585.42</v>
      </c>
      <c r="C3" s="6">
        <v>134744245.49</v>
      </c>
      <c r="D3" s="6">
        <v>4.1</v>
      </c>
      <c r="E3" s="6">
        <v>89.1</v>
      </c>
      <c r="F3" s="6">
        <v>34198877.49</v>
      </c>
      <c r="G3" s="7">
        <v>131835427.48</v>
      </c>
      <c r="H3" s="7">
        <v>3.85</v>
      </c>
      <c r="I3" s="7">
        <v>94.7</v>
      </c>
      <c r="J3" s="8">
        <v>0.039</v>
      </c>
      <c r="K3" s="7">
        <v>5.6</v>
      </c>
    </row>
    <row r="4" customHeight="1" spans="1:11">
      <c r="A4" s="5" t="s">
        <v>72</v>
      </c>
      <c r="B4" s="6">
        <v>1979750.45</v>
      </c>
      <c r="C4" s="6">
        <v>14321547.68</v>
      </c>
      <c r="D4" s="6">
        <v>7.23</v>
      </c>
      <c r="E4" s="6">
        <v>50.5</v>
      </c>
      <c r="F4" s="6">
        <v>1851979.97</v>
      </c>
      <c r="G4" s="7">
        <v>13356804.36</v>
      </c>
      <c r="H4" s="7">
        <v>7.21</v>
      </c>
      <c r="I4" s="7">
        <v>50.6</v>
      </c>
      <c r="J4" s="8">
        <v>-0.065</v>
      </c>
      <c r="K4" s="7">
        <v>0.1</v>
      </c>
    </row>
    <row r="5" customHeight="1" spans="1:11">
      <c r="A5" s="5" t="s">
        <v>73</v>
      </c>
      <c r="B5" s="6">
        <v>3506939.44</v>
      </c>
      <c r="C5" s="9">
        <v>31251759.68</v>
      </c>
      <c r="D5" s="3">
        <v>8.91</v>
      </c>
      <c r="E5" s="6">
        <v>41</v>
      </c>
      <c r="F5" s="9">
        <v>3502534.97</v>
      </c>
      <c r="G5" s="10">
        <v>32057459.56</v>
      </c>
      <c r="H5" s="7">
        <v>9.15</v>
      </c>
      <c r="I5" s="7">
        <v>39.9</v>
      </c>
      <c r="J5" s="8">
        <v>-0.001</v>
      </c>
      <c r="K5" s="7">
        <v>-1.1</v>
      </c>
    </row>
    <row r="6" customHeight="1" spans="1:11">
      <c r="A6" s="5" t="s">
        <v>74</v>
      </c>
      <c r="B6" s="6">
        <v>1367089.88</v>
      </c>
      <c r="C6" s="9">
        <v>14437535.33</v>
      </c>
      <c r="D6" s="3">
        <v>10.56</v>
      </c>
      <c r="E6" s="6">
        <v>34.6</v>
      </c>
      <c r="F6" s="9">
        <v>1345513.08</v>
      </c>
      <c r="G6" s="10">
        <v>12785473.64</v>
      </c>
      <c r="H6" s="7">
        <v>9.5</v>
      </c>
      <c r="I6" s="7">
        <v>38.4</v>
      </c>
      <c r="J6" s="8">
        <v>-0.016</v>
      </c>
      <c r="K6" s="7">
        <v>3.8</v>
      </c>
    </row>
    <row r="7" ht="14.25" customHeight="1" spans="1:11">
      <c r="A7" s="1" t="s">
        <v>75</v>
      </c>
      <c r="B7" s="6">
        <v>11818000</v>
      </c>
      <c r="C7" s="9">
        <v>0</v>
      </c>
      <c r="D7" s="9">
        <v>0</v>
      </c>
      <c r="E7" s="9">
        <v>0</v>
      </c>
      <c r="F7" s="9">
        <v>11747000</v>
      </c>
      <c r="G7" s="10">
        <v>0</v>
      </c>
      <c r="H7" s="9">
        <v>0</v>
      </c>
      <c r="I7" s="9">
        <v>0</v>
      </c>
      <c r="J7" s="9">
        <v>0</v>
      </c>
      <c r="K7" s="9">
        <v>0</v>
      </c>
    </row>
    <row r="8" ht="14.25" customHeight="1" spans="1:11">
      <c r="A8" s="1" t="s">
        <v>76</v>
      </c>
      <c r="B8" s="6">
        <f>SUM(B3:B7)</f>
        <v>51572365.19</v>
      </c>
      <c r="C8" s="6">
        <f>SUM(C3:C7)</f>
        <v>194755088.18</v>
      </c>
      <c r="D8" s="11">
        <f>C8/B8</f>
        <v>3.77634586784016</v>
      </c>
      <c r="E8" s="6">
        <v>98.6</v>
      </c>
      <c r="F8" s="6">
        <f>SUM(F3:F7)</f>
        <v>52645905.51</v>
      </c>
      <c r="G8" s="6">
        <f>SUM(G3:G7)</f>
        <v>190035165.04</v>
      </c>
      <c r="H8" s="7">
        <f>G8/F8</f>
        <v>3.60968556242048</v>
      </c>
      <c r="I8" s="7">
        <v>103</v>
      </c>
      <c r="J8" s="8">
        <v>0.019</v>
      </c>
      <c r="K8" s="7">
        <v>4.4</v>
      </c>
    </row>
    <row r="9" customHeight="1" spans="1:11">
      <c r="F9" s="9"/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2"/>
  <sheetViews>
    <sheetView tabSelected="1" workbookViewId="0">
      <selection activeCell="C19" sqref="C19"/>
    </sheetView>
  </sheetViews>
  <sheetFormatPr defaultColWidth="9" defaultRowHeight="13.5" customHeight="1" outlineLevelRow="1" outlineLevelCol="1"/>
  <cols>
    <col min="2" max="2" width="28.5038759689922" style="1" customWidth="1"/>
    <col min="3" max="3" width="19.1627906976744" style="1" customWidth="1"/>
    <col min="4" max="4" width="19.6666666666667" style="1" customWidth="1"/>
  </cols>
  <sheetData>
    <row r="1" customHeight="1" spans="1:2">
      <c r="A1" t="s">
        <v>0</v>
      </c>
      <c r="B1" s="1" t="s">
        <v>77</v>
      </c>
    </row>
    <row r="2" customHeight="1" spans="1:2">
      <c r="A2" s="2" t="s">
        <v>23</v>
      </c>
      <c r="B2" s="1" t="s">
        <v>78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订单数据</vt:lpstr>
      <vt:lpstr>采购数据统计</vt:lpstr>
      <vt:lpstr>Key-SKU断货统计</vt:lpstr>
      <vt:lpstr>议价数据统计</vt:lpstr>
      <vt:lpstr>仓储单位产出</vt:lpstr>
      <vt:lpstr>效率提升</vt:lpstr>
      <vt:lpstr>库存周转分析</vt:lpstr>
      <vt:lpstr>总结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jyj</cp:lastModifiedBy>
  <dcterms:created xsi:type="dcterms:W3CDTF">2006-09-16T00:00:00Z</dcterms:created>
  <dcterms:modified xsi:type="dcterms:W3CDTF">2026-08-07T08:36:47Z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D82F2CDDD74F422D9F133520EEFD4A23_12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